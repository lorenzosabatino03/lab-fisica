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tente\Documents\Lab Fisica scuola\2025-2026\II\MRU\"/>
    </mc:Choice>
  </mc:AlternateContent>
  <xr:revisionPtr revIDLastSave="0" documentId="13_ncr:1_{A685AB9B-DC5F-4C65-A1F6-6FBBFCC7BAA0}" xr6:coauthVersionLast="47" xr6:coauthVersionMax="47" xr10:uidLastSave="{00000000-0000-0000-0000-000000000000}"/>
  <bookViews>
    <workbookView xWindow="6375" yWindow="3315" windowWidth="14115" windowHeight="7485" xr2:uid="{FB7832AB-FA73-4F9F-9C19-F443173E4E7C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4" i="1" l="1"/>
  <c r="F63" i="1"/>
  <c r="G45" i="1"/>
  <c r="G44" i="1"/>
  <c r="D58" i="1"/>
  <c r="G46" i="1"/>
  <c r="G47" i="1"/>
  <c r="G48" i="1"/>
  <c r="G49" i="1"/>
  <c r="G50" i="1"/>
  <c r="G51" i="1"/>
  <c r="G52" i="1"/>
  <c r="F52" i="1"/>
  <c r="E52" i="1"/>
  <c r="D52" i="1"/>
  <c r="E51" i="1"/>
  <c r="F51" i="1" s="1"/>
  <c r="D51" i="1"/>
  <c r="E50" i="1"/>
  <c r="D50" i="1"/>
  <c r="F50" i="1" s="1"/>
  <c r="E49" i="1"/>
  <c r="D49" i="1"/>
  <c r="F49" i="1" s="1"/>
  <c r="E48" i="1"/>
  <c r="F48" i="1" s="1"/>
  <c r="D48" i="1"/>
  <c r="F47" i="1"/>
  <c r="E47" i="1"/>
  <c r="D47" i="1"/>
  <c r="E46" i="1"/>
  <c r="F46" i="1" s="1"/>
  <c r="D46" i="1"/>
  <c r="E45" i="1"/>
  <c r="F45" i="1" s="1"/>
  <c r="D45" i="1"/>
  <c r="F44" i="1"/>
  <c r="E44" i="1"/>
  <c r="D44" i="1"/>
  <c r="E7" i="1"/>
  <c r="E8" i="1"/>
  <c r="E9" i="1"/>
  <c r="E10" i="1"/>
  <c r="E11" i="1"/>
  <c r="E12" i="1"/>
  <c r="E13" i="1"/>
  <c r="E14" i="1"/>
  <c r="E6" i="1"/>
  <c r="D7" i="1"/>
  <c r="D8" i="1"/>
  <c r="D9" i="1"/>
  <c r="F9" i="1" s="1"/>
  <c r="D10" i="1"/>
  <c r="D11" i="1"/>
  <c r="D12" i="1"/>
  <c r="D13" i="1"/>
  <c r="D14" i="1"/>
  <c r="D6" i="1"/>
  <c r="F53" i="1" l="1"/>
  <c r="F13" i="1"/>
  <c r="F11" i="1"/>
  <c r="F10" i="1"/>
  <c r="F14" i="1"/>
  <c r="F12" i="1"/>
  <c r="F8" i="1"/>
  <c r="F6" i="1"/>
  <c r="F7" i="1"/>
  <c r="F15" i="1" l="1"/>
</calcChain>
</file>

<file path=xl/sharedStrings.xml><?xml version="1.0" encoding="utf-8"?>
<sst xmlns="http://schemas.openxmlformats.org/spreadsheetml/2006/main" count="85" uniqueCount="73">
  <si>
    <t>tempi (s)</t>
  </si>
  <si>
    <t>distanze (cm)</t>
  </si>
  <si>
    <t>Δt (s)</t>
  </si>
  <si>
    <t>Δs (cm)</t>
  </si>
  <si>
    <t>velocità (cm/s)</t>
  </si>
  <si>
    <t>tempi</t>
  </si>
  <si>
    <t>s</t>
  </si>
  <si>
    <t>distanze</t>
  </si>
  <si>
    <t>cm</t>
  </si>
  <si>
    <t>Mi chiedo: che errore (incertezza) avrà la velocità?</t>
  </si>
  <si>
    <t>Intanto: come abbiamo calcolato la velocità?</t>
  </si>
  <si>
    <t>…..........................</t>
  </si>
  <si>
    <t>Benissimo, dunque tra le formule viste, quale useremo?</t>
  </si>
  <si>
    <t>C = A + B</t>
  </si>
  <si>
    <t>Partiamo da due grandezze con i loro errori:</t>
  </si>
  <si>
    <t>DIFFERENZA</t>
  </si>
  <si>
    <t>d = A - B</t>
  </si>
  <si>
    <t>c = a + b</t>
  </si>
  <si>
    <t>d = a - b</t>
  </si>
  <si>
    <t>PRODOTTO</t>
  </si>
  <si>
    <t>P = A*B</t>
  </si>
  <si>
    <t>SOMMA</t>
  </si>
  <si>
    <t>p = a*b</t>
  </si>
  <si>
    <t>Q = A/B</t>
  </si>
  <si>
    <t>q = a/b</t>
  </si>
  <si>
    <t>Nel mio esempio:</t>
  </si>
  <si>
    <t>1)</t>
  </si>
  <si>
    <r>
      <t xml:space="preserve">Devo </t>
    </r>
    <r>
      <rPr>
        <b/>
        <sz val="11"/>
        <color theme="1"/>
        <rFont val="Century"/>
        <family val="1"/>
      </rPr>
      <t>propagare</t>
    </r>
    <r>
      <rPr>
        <sz val="11"/>
        <color theme="1"/>
        <rFont val="Century"/>
        <family val="1"/>
      </rPr>
      <t xml:space="preserve"> questo errore usando le formule ripassate e a inizio anno</t>
    </r>
  </si>
  <si>
    <t>velocità media</t>
  </si>
  <si>
    <t>QUOZIENTE</t>
  </si>
  <si>
    <t>#misure</t>
  </si>
  <si>
    <t>± Δv</t>
  </si>
  <si>
    <t>cm/s</t>
  </si>
  <si>
    <r>
      <t xml:space="preserve">E per calcolare l'errore sulla velocità media? La semidispersione è un metodo </t>
    </r>
    <r>
      <rPr>
        <b/>
        <sz val="11"/>
        <color theme="1"/>
        <rFont val="Century"/>
        <family val="1"/>
      </rPr>
      <t>troppo grezzo</t>
    </r>
    <r>
      <rPr>
        <sz val="11"/>
        <color theme="1"/>
        <rFont val="Century"/>
        <family val="1"/>
      </rPr>
      <t>!</t>
    </r>
  </si>
  <si>
    <t>Allora usiamo questa formula:</t>
  </si>
  <si>
    <t>2)</t>
  </si>
  <si>
    <t>3)</t>
  </si>
  <si>
    <t>Finalmente posso scrivere la misura finale</t>
  </si>
  <si>
    <t>4)</t>
  </si>
  <si>
    <t>Dalla retta ottengo v = 24,62 cm/s. Chiamiamola v_retta</t>
  </si>
  <si>
    <t>Come faccio a capire se v_retta e v (ottenuta dalla media delle mie misure) sono in accordo tra di loro?</t>
  </si>
  <si>
    <t>Uso la seguente formula:</t>
  </si>
  <si>
    <t>perfettamente compatibile</t>
  </si>
  <si>
    <t>compatibile</t>
  </si>
  <si>
    <t>compatibilità dubbia</t>
  </si>
  <si>
    <t>non compatibile</t>
  </si>
  <si>
    <t xml:space="preserve">k = </t>
  </si>
  <si>
    <t>(media degli errori)</t>
  </si>
  <si>
    <r>
      <t>Questa grandezza esprime la</t>
    </r>
    <r>
      <rPr>
        <b/>
        <sz val="11"/>
        <color theme="1"/>
        <rFont val="Century"/>
        <family val="1"/>
      </rPr>
      <t xml:space="preserve"> compatibilità</t>
    </r>
    <r>
      <rPr>
        <sz val="11"/>
        <color theme="1"/>
        <rFont val="Century"/>
        <family val="1"/>
      </rPr>
      <t xml:space="preserve"> tra due misure </t>
    </r>
  </si>
  <si>
    <t>k&lt;1:</t>
  </si>
  <si>
    <t>1&lt;k&lt;2:</t>
  </si>
  <si>
    <t>2&lt;k&lt;3:</t>
  </si>
  <si>
    <t>k&gt;3:</t>
  </si>
  <si>
    <t>Incertezze degli strumenti</t>
  </si>
  <si>
    <t>MRU - propagazione degli errori</t>
  </si>
  <si>
    <t>Come calcolo l'errore??</t>
  </si>
  <si>
    <t>N.B. in Excel il comando per la radice quadrata è RADQ</t>
  </si>
  <si>
    <r>
      <t>e</t>
    </r>
    <r>
      <rPr>
        <sz val="8"/>
        <color theme="1"/>
        <rFont val="Century"/>
        <family val="1"/>
      </rPr>
      <t>v</t>
    </r>
    <r>
      <rPr>
        <sz val="6"/>
        <color theme="1"/>
        <rFont val="Century"/>
        <family val="1"/>
      </rPr>
      <t xml:space="preserve"> </t>
    </r>
    <r>
      <rPr>
        <sz val="11"/>
        <color theme="1"/>
        <rFont val="Century"/>
        <family val="1"/>
      </rPr>
      <t>(cm/s)</t>
    </r>
  </si>
  <si>
    <r>
      <t>e</t>
    </r>
    <r>
      <rPr>
        <sz val="8"/>
        <color theme="1"/>
        <rFont val="Century"/>
        <family val="1"/>
      </rPr>
      <t>v</t>
    </r>
    <r>
      <rPr>
        <sz val="11"/>
        <color theme="1"/>
        <rFont val="Century"/>
        <family val="1"/>
      </rPr>
      <t xml:space="preserve"> = (v_max - v_min)/2 =</t>
    </r>
  </si>
  <si>
    <r>
      <t>e</t>
    </r>
    <r>
      <rPr>
        <sz val="8"/>
        <color theme="1"/>
        <rFont val="Century"/>
        <family val="1"/>
      </rPr>
      <t>v</t>
    </r>
    <r>
      <rPr>
        <sz val="11"/>
        <color theme="1"/>
        <rFont val="Century"/>
        <family val="1"/>
      </rPr>
      <t xml:space="preserve">  = media_errori / radice del numero di misure</t>
    </r>
  </si>
  <si>
    <r>
      <t>e</t>
    </r>
    <r>
      <rPr>
        <sz val="8"/>
        <color theme="1"/>
        <rFont val="Century"/>
        <family val="1"/>
      </rPr>
      <t>v</t>
    </r>
    <r>
      <rPr>
        <sz val="11"/>
        <color theme="1"/>
        <rFont val="Century"/>
        <family val="1"/>
      </rPr>
      <t xml:space="preserve"> =</t>
    </r>
  </si>
  <si>
    <r>
      <t>B = b + e</t>
    </r>
    <r>
      <rPr>
        <sz val="8"/>
        <color theme="1"/>
        <rFont val="Century"/>
        <family val="1"/>
      </rPr>
      <t>b</t>
    </r>
  </si>
  <si>
    <r>
      <t>A = a + e</t>
    </r>
    <r>
      <rPr>
        <sz val="8"/>
        <color theme="1"/>
        <rFont val="Century"/>
        <family val="1"/>
      </rPr>
      <t>a</t>
    </r>
  </si>
  <si>
    <t>v = 24,39 ± 0,16 cm/s</t>
  </si>
  <si>
    <r>
      <t>C = c + e</t>
    </r>
    <r>
      <rPr>
        <sz val="8"/>
        <color theme="1"/>
        <rFont val="Century"/>
        <family val="1"/>
      </rPr>
      <t>c</t>
    </r>
  </si>
  <si>
    <r>
      <t>D = d + e</t>
    </r>
    <r>
      <rPr>
        <sz val="8"/>
        <color theme="1"/>
        <rFont val="Century"/>
        <family val="1"/>
      </rPr>
      <t>d</t>
    </r>
  </si>
  <si>
    <r>
      <t>e</t>
    </r>
    <r>
      <rPr>
        <sz val="8"/>
        <color theme="1"/>
        <rFont val="Century"/>
        <family val="1"/>
      </rPr>
      <t xml:space="preserve">c </t>
    </r>
    <r>
      <rPr>
        <sz val="11"/>
        <color theme="1"/>
        <rFont val="Century"/>
        <family val="1"/>
      </rPr>
      <t>= ea</t>
    </r>
    <r>
      <rPr>
        <sz val="8"/>
        <color theme="1"/>
        <rFont val="Century"/>
        <family val="1"/>
      </rPr>
      <t xml:space="preserve"> + </t>
    </r>
    <r>
      <rPr>
        <sz val="11"/>
        <color theme="1"/>
        <rFont val="Century"/>
        <family val="1"/>
      </rPr>
      <t>e</t>
    </r>
    <r>
      <rPr>
        <sz val="8"/>
        <color theme="1"/>
        <rFont val="Century"/>
        <family val="1"/>
      </rPr>
      <t>b</t>
    </r>
  </si>
  <si>
    <r>
      <t>e</t>
    </r>
    <r>
      <rPr>
        <sz val="8"/>
        <color theme="1"/>
        <rFont val="Century"/>
        <family val="1"/>
      </rPr>
      <t xml:space="preserve">d </t>
    </r>
    <r>
      <rPr>
        <sz val="11"/>
        <color theme="1"/>
        <rFont val="Century"/>
        <family val="1"/>
      </rPr>
      <t>= ea</t>
    </r>
    <r>
      <rPr>
        <sz val="8"/>
        <color theme="1"/>
        <rFont val="Century"/>
        <family val="1"/>
      </rPr>
      <t xml:space="preserve"> + </t>
    </r>
    <r>
      <rPr>
        <sz val="11"/>
        <color theme="1"/>
        <rFont val="Century"/>
        <family val="1"/>
      </rPr>
      <t>e</t>
    </r>
    <r>
      <rPr>
        <sz val="8"/>
        <color theme="1"/>
        <rFont val="Century"/>
        <family val="1"/>
      </rPr>
      <t>b</t>
    </r>
  </si>
  <si>
    <r>
      <t>P = p + e</t>
    </r>
    <r>
      <rPr>
        <sz val="8"/>
        <color theme="1"/>
        <rFont val="Century"/>
        <family val="1"/>
      </rPr>
      <t>p</t>
    </r>
  </si>
  <si>
    <r>
      <t>Q = q + e</t>
    </r>
    <r>
      <rPr>
        <sz val="8"/>
        <color theme="1"/>
        <rFont val="Century"/>
        <family val="1"/>
      </rPr>
      <t>q</t>
    </r>
  </si>
  <si>
    <r>
      <t>e</t>
    </r>
    <r>
      <rPr>
        <sz val="8"/>
        <color theme="1"/>
        <rFont val="Century"/>
        <family val="1"/>
      </rPr>
      <t>p</t>
    </r>
    <r>
      <rPr>
        <sz val="11"/>
        <color theme="1"/>
        <rFont val="Century"/>
        <family val="1"/>
      </rPr>
      <t xml:space="preserve"> = (a*b)*(e</t>
    </r>
    <r>
      <rPr>
        <sz val="8"/>
        <color theme="1"/>
        <rFont val="Century"/>
        <family val="1"/>
      </rPr>
      <t>a</t>
    </r>
    <r>
      <rPr>
        <sz val="11"/>
        <color theme="1"/>
        <rFont val="Century"/>
        <family val="1"/>
      </rPr>
      <t>/a + e</t>
    </r>
    <r>
      <rPr>
        <sz val="8"/>
        <color theme="1"/>
        <rFont val="Century"/>
        <family val="1"/>
      </rPr>
      <t>b</t>
    </r>
    <r>
      <rPr>
        <sz val="11"/>
        <color theme="1"/>
        <rFont val="Century"/>
        <family val="1"/>
      </rPr>
      <t>/b)</t>
    </r>
  </si>
  <si>
    <r>
      <t>e</t>
    </r>
    <r>
      <rPr>
        <sz val="8"/>
        <color theme="1"/>
        <rFont val="Century"/>
        <family val="1"/>
      </rPr>
      <t>q</t>
    </r>
    <r>
      <rPr>
        <sz val="11"/>
        <color theme="1"/>
        <rFont val="Century"/>
        <family val="1"/>
      </rPr>
      <t xml:space="preserve"> = (a/b)*(e</t>
    </r>
    <r>
      <rPr>
        <sz val="8"/>
        <color theme="1"/>
        <rFont val="Century"/>
        <family val="1"/>
      </rPr>
      <t>a</t>
    </r>
    <r>
      <rPr>
        <sz val="11"/>
        <color theme="1"/>
        <rFont val="Century"/>
        <family val="1"/>
      </rPr>
      <t>/a + e</t>
    </r>
    <r>
      <rPr>
        <sz val="8"/>
        <color theme="1"/>
        <rFont val="Century"/>
        <family val="1"/>
      </rPr>
      <t>b</t>
    </r>
    <r>
      <rPr>
        <sz val="11"/>
        <color theme="1"/>
        <rFont val="Century"/>
        <family val="1"/>
      </rPr>
      <t>/b)</t>
    </r>
  </si>
  <si>
    <r>
      <t>k = |v − v_retta|/ e</t>
    </r>
    <r>
      <rPr>
        <sz val="8"/>
        <color theme="1"/>
        <rFont val="Century"/>
        <family val="1"/>
      </rPr>
      <t>v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</si>
</sst>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Century"/>
      <family val="1"/>
    </font>
    <font>
      <b/>
      <sz val="11"/>
      <color theme="1"/>
      <name val="Century"/>
      <family val="1"/>
    </font>
    <font>
      <b/>
      <sz val="16"/>
      <color theme="1"/>
      <name val="Century"/>
      <family val="1"/>
    </font>
    <font>
      <sz val="11"/>
      <name val="Century"/>
      <family val="1"/>
    </font>
    <font>
      <sz val="22"/>
      <color theme="1"/>
      <name val="Century"/>
      <family val="1"/>
    </font>
    <font>
      <b/>
      <sz val="11"/>
      <color rgb="FFFF0000"/>
      <name val="Century"/>
      <family val="1"/>
    </font>
    <font>
      <sz val="8"/>
      <color theme="1"/>
      <name val="Century"/>
      <family val="1"/>
    </font>
    <font>
      <sz val="6"/>
      <color theme="1"/>
      <name val="Century"/>
      <family val="1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1" fillId="0" borderId="1" xfId="0" applyFont="1" applyBorder="1" applyAlignment="1">
      <alignment horizontal="center"/>
    </xf>
    <xf numFmtId="2" fontId="1" fillId="0" borderId="0" xfId="0" applyNumberFormat="1" applyFont="1" applyAlignment="1">
      <alignment horizontal="center"/>
    </xf>
    <xf numFmtId="0" fontId="1" fillId="0" borderId="2" xfId="0" applyFont="1" applyBorder="1"/>
    <xf numFmtId="0" fontId="1" fillId="0" borderId="3" xfId="0" applyFont="1" applyBorder="1"/>
    <xf numFmtId="164" fontId="1" fillId="0" borderId="0" xfId="0" applyNumberFormat="1" applyFont="1" applyAlignment="1">
      <alignment horizontal="center"/>
    </xf>
    <xf numFmtId="2" fontId="1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2" fillId="3" borderId="2" xfId="0" applyFont="1" applyFill="1" applyBorder="1"/>
    <xf numFmtId="0" fontId="1" fillId="3" borderId="2" xfId="0" applyFont="1" applyFill="1" applyBorder="1"/>
    <xf numFmtId="0" fontId="2" fillId="4" borderId="0" xfId="0" applyFont="1" applyFill="1"/>
    <xf numFmtId="0" fontId="1" fillId="2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3" fillId="0" borderId="0" xfId="0" applyFont="1"/>
    <xf numFmtId="0" fontId="1" fillId="0" borderId="0" xfId="0" applyFont="1" applyAlignment="1">
      <alignment horizontal="left" vertical="center" wrapText="1"/>
    </xf>
    <xf numFmtId="0" fontId="5" fillId="0" borderId="0" xfId="0" applyFont="1"/>
    <xf numFmtId="0" fontId="6" fillId="0" borderId="0" xfId="0" applyFont="1"/>
    <xf numFmtId="0" fontId="1" fillId="0" borderId="0" xfId="0" applyFont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left"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spazio - tempo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2700" cap="rnd">
                <a:solidFill>
                  <a:srgbClr val="FF0000"/>
                </a:solidFill>
                <a:prstDash val="solid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17635148731408573"/>
                  <c:y val="3.609470691163604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</c:trendlineLbl>
          </c:trendline>
          <c:xVal>
            <c:numRef>
              <c:f>Foglio1!$B$43:$B$52</c:f>
              <c:numCache>
                <c:formatCode>General</c:formatCode>
                <c:ptCount val="10"/>
                <c:pt idx="0">
                  <c:v>0.1</c:v>
                </c:pt>
                <c:pt idx="1">
                  <c:v>0.3</c:v>
                </c:pt>
                <c:pt idx="2">
                  <c:v>0.4</c:v>
                </c:pt>
                <c:pt idx="3">
                  <c:v>0.6</c:v>
                </c:pt>
                <c:pt idx="4">
                  <c:v>0.7</c:v>
                </c:pt>
                <c:pt idx="5">
                  <c:v>0.8</c:v>
                </c:pt>
                <c:pt idx="6">
                  <c:v>0.9</c:v>
                </c:pt>
                <c:pt idx="7">
                  <c:v>1.1000000000000001</c:v>
                </c:pt>
                <c:pt idx="8">
                  <c:v>1.2</c:v>
                </c:pt>
                <c:pt idx="9">
                  <c:v>1.5</c:v>
                </c:pt>
              </c:numCache>
            </c:numRef>
          </c:xVal>
          <c:yVal>
            <c:numRef>
              <c:f>Foglio1!$C$43:$C$52</c:f>
              <c:numCache>
                <c:formatCode>General</c:formatCode>
                <c:ptCount val="10"/>
                <c:pt idx="0">
                  <c:v>1.5</c:v>
                </c:pt>
                <c:pt idx="1">
                  <c:v>5.6</c:v>
                </c:pt>
                <c:pt idx="2">
                  <c:v>7.5</c:v>
                </c:pt>
                <c:pt idx="3">
                  <c:v>11.5</c:v>
                </c:pt>
                <c:pt idx="4">
                  <c:v>14</c:v>
                </c:pt>
                <c:pt idx="5">
                  <c:v>16.399999999999999</c:v>
                </c:pt>
                <c:pt idx="6">
                  <c:v>19</c:v>
                </c:pt>
                <c:pt idx="7">
                  <c:v>25</c:v>
                </c:pt>
                <c:pt idx="8">
                  <c:v>28</c:v>
                </c:pt>
                <c:pt idx="9">
                  <c:v>35.5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442-4161-A4AB-E9AA9586F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2063839"/>
        <c:axId val="1502064319"/>
      </c:scatterChart>
      <c:valAx>
        <c:axId val="1502063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tempo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02064319"/>
        <c:crosses val="autoZero"/>
        <c:crossBetween val="midCat"/>
      </c:valAx>
      <c:valAx>
        <c:axId val="1502064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spazio</a:t>
                </a:r>
                <a:r>
                  <a:rPr lang="it-IT" baseline="0"/>
                  <a:t> (cm)</a:t>
                </a:r>
                <a:endParaRPr lang="it-I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020638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71</xdr:row>
      <xdr:rowOff>4762</xdr:rowOff>
    </xdr:from>
    <xdr:to>
      <xdr:col>6</xdr:col>
      <xdr:colOff>371475</xdr:colOff>
      <xdr:row>87</xdr:row>
      <xdr:rowOff>85725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6586AAD6-EE5B-C9EB-2568-7993E8E41F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6902F-C9BC-4E22-89F7-98BBB297F216}">
  <dimension ref="A1:M90"/>
  <sheetViews>
    <sheetView tabSelected="1" topLeftCell="C54" zoomScale="160" zoomScaleNormal="160" workbookViewId="0">
      <selection activeCell="I55" sqref="I55"/>
    </sheetView>
  </sheetViews>
  <sheetFormatPr defaultRowHeight="14.25" x14ac:dyDescent="0.2"/>
  <cols>
    <col min="1" max="1" width="9.140625" style="1"/>
    <col min="2" max="2" width="18" style="1" customWidth="1"/>
    <col min="3" max="3" width="14.42578125" style="1" bestFit="1" customWidth="1"/>
    <col min="4" max="4" width="9.140625" style="1"/>
    <col min="5" max="5" width="9.140625" style="1" customWidth="1"/>
    <col min="6" max="6" width="15.42578125" style="1" bestFit="1" customWidth="1"/>
    <col min="7" max="7" width="18.28515625" style="1" bestFit="1" customWidth="1"/>
    <col min="8" max="8" width="9.140625" style="1" customWidth="1"/>
    <col min="9" max="9" width="9.140625" style="1"/>
    <col min="10" max="10" width="14.42578125" style="1" customWidth="1"/>
    <col min="11" max="16384" width="9.140625" style="1"/>
  </cols>
  <sheetData>
    <row r="1" spans="1:10" ht="27" x14ac:dyDescent="0.35">
      <c r="A1" s="19" t="s">
        <v>54</v>
      </c>
    </row>
    <row r="4" spans="1:10" x14ac:dyDescent="0.2">
      <c r="B4" s="11" t="s">
        <v>0</v>
      </c>
      <c r="C4" s="11" t="s">
        <v>1</v>
      </c>
      <c r="D4" s="11" t="s">
        <v>2</v>
      </c>
      <c r="E4" s="11" t="s">
        <v>3</v>
      </c>
      <c r="F4" s="11" t="s">
        <v>4</v>
      </c>
      <c r="H4" s="12" t="s">
        <v>53</v>
      </c>
      <c r="I4" s="13"/>
      <c r="J4" s="13"/>
    </row>
    <row r="5" spans="1:10" x14ac:dyDescent="0.2">
      <c r="B5" s="2">
        <v>0.1</v>
      </c>
      <c r="C5" s="2">
        <v>1.5</v>
      </c>
      <c r="D5" s="2"/>
      <c r="E5" s="2"/>
      <c r="F5" s="2"/>
      <c r="H5" s="7" t="s">
        <v>5</v>
      </c>
      <c r="I5" s="7">
        <v>0.01</v>
      </c>
      <c r="J5" s="7" t="s">
        <v>6</v>
      </c>
    </row>
    <row r="6" spans="1:10" x14ac:dyDescent="0.2">
      <c r="B6" s="2">
        <v>0.3</v>
      </c>
      <c r="C6" s="2">
        <v>5.6</v>
      </c>
      <c r="D6" s="2">
        <f>B6-B5</f>
        <v>0.19999999999999998</v>
      </c>
      <c r="E6" s="2">
        <f>C6-C5</f>
        <v>4.0999999999999996</v>
      </c>
      <c r="F6" s="2">
        <f>E6/D6</f>
        <v>20.5</v>
      </c>
      <c r="H6" s="6" t="s">
        <v>7</v>
      </c>
      <c r="I6" s="6">
        <v>0.1</v>
      </c>
      <c r="J6" s="6" t="s">
        <v>8</v>
      </c>
    </row>
    <row r="7" spans="1:10" x14ac:dyDescent="0.2">
      <c r="B7" s="2">
        <v>0.4</v>
      </c>
      <c r="C7" s="2">
        <v>7.5</v>
      </c>
      <c r="D7" s="2">
        <f t="shared" ref="D7:D14" si="0">B7-B6</f>
        <v>0.10000000000000003</v>
      </c>
      <c r="E7" s="2">
        <f t="shared" ref="E7:E14" si="1">C7-C6</f>
        <v>1.9000000000000004</v>
      </c>
      <c r="F7" s="2">
        <f t="shared" ref="F7:F14" si="2">E7/D7</f>
        <v>18.999999999999996</v>
      </c>
    </row>
    <row r="8" spans="1:10" x14ac:dyDescent="0.2">
      <c r="B8" s="2">
        <v>0.6</v>
      </c>
      <c r="C8" s="2">
        <v>11.5</v>
      </c>
      <c r="D8" s="2">
        <f t="shared" si="0"/>
        <v>0.19999999999999996</v>
      </c>
      <c r="E8" s="2">
        <f t="shared" si="1"/>
        <v>4</v>
      </c>
      <c r="F8" s="2">
        <f t="shared" si="2"/>
        <v>20.000000000000004</v>
      </c>
    </row>
    <row r="9" spans="1:10" x14ac:dyDescent="0.2">
      <c r="B9" s="2">
        <v>0.7</v>
      </c>
      <c r="C9" s="2">
        <v>14</v>
      </c>
      <c r="D9" s="2">
        <f t="shared" si="0"/>
        <v>9.9999999999999978E-2</v>
      </c>
      <c r="E9" s="2">
        <f t="shared" si="1"/>
        <v>2.5</v>
      </c>
      <c r="F9" s="2">
        <f t="shared" si="2"/>
        <v>25.000000000000007</v>
      </c>
    </row>
    <row r="10" spans="1:10" x14ac:dyDescent="0.2">
      <c r="B10" s="2">
        <v>0.8</v>
      </c>
      <c r="C10" s="2">
        <v>16.399999999999999</v>
      </c>
      <c r="D10" s="2">
        <f t="shared" si="0"/>
        <v>0.10000000000000009</v>
      </c>
      <c r="E10" s="2">
        <f t="shared" si="1"/>
        <v>2.3999999999999986</v>
      </c>
      <c r="F10" s="2">
        <f t="shared" si="2"/>
        <v>23.999999999999964</v>
      </c>
    </row>
    <row r="11" spans="1:10" x14ac:dyDescent="0.2">
      <c r="B11" s="2">
        <v>0.9</v>
      </c>
      <c r="C11" s="2">
        <v>19</v>
      </c>
      <c r="D11" s="2">
        <f t="shared" si="0"/>
        <v>9.9999999999999978E-2</v>
      </c>
      <c r="E11" s="2">
        <f t="shared" si="1"/>
        <v>2.6000000000000014</v>
      </c>
      <c r="F11" s="2">
        <f t="shared" si="2"/>
        <v>26.000000000000021</v>
      </c>
    </row>
    <row r="12" spans="1:10" x14ac:dyDescent="0.2">
      <c r="B12" s="2">
        <v>1.1000000000000001</v>
      </c>
      <c r="C12" s="2">
        <v>25</v>
      </c>
      <c r="D12" s="2">
        <f t="shared" si="0"/>
        <v>0.20000000000000007</v>
      </c>
      <c r="E12" s="2">
        <f t="shared" si="1"/>
        <v>6</v>
      </c>
      <c r="F12" s="2">
        <f t="shared" si="2"/>
        <v>29.999999999999989</v>
      </c>
    </row>
    <row r="13" spans="1:10" x14ac:dyDescent="0.2">
      <c r="B13" s="2">
        <v>1.2</v>
      </c>
      <c r="C13" s="2">
        <v>28</v>
      </c>
      <c r="D13" s="2">
        <f t="shared" si="0"/>
        <v>9.9999999999999867E-2</v>
      </c>
      <c r="E13" s="2">
        <f t="shared" si="1"/>
        <v>3</v>
      </c>
      <c r="F13" s="2">
        <f t="shared" si="2"/>
        <v>30.000000000000039</v>
      </c>
    </row>
    <row r="14" spans="1:10" ht="15" thickBot="1" x14ac:dyDescent="0.25">
      <c r="B14" s="2">
        <v>1.5</v>
      </c>
      <c r="C14" s="2">
        <v>35.5</v>
      </c>
      <c r="D14" s="2">
        <f t="shared" si="0"/>
        <v>0.30000000000000004</v>
      </c>
      <c r="E14" s="2">
        <f t="shared" si="1"/>
        <v>7.5</v>
      </c>
      <c r="F14" s="4">
        <f t="shared" si="2"/>
        <v>24.999999999999996</v>
      </c>
    </row>
    <row r="15" spans="1:10" ht="15" thickTop="1" x14ac:dyDescent="0.2">
      <c r="B15" s="2"/>
      <c r="C15" s="2"/>
      <c r="D15" s="2"/>
      <c r="E15" s="2"/>
      <c r="F15" s="5">
        <f>AVERAGE(F6:F14)</f>
        <v>24.388888888888893</v>
      </c>
      <c r="G15" s="1" t="s">
        <v>28</v>
      </c>
    </row>
    <row r="18" spans="1:9" ht="20.25" x14ac:dyDescent="0.3">
      <c r="A18" s="10" t="s">
        <v>26</v>
      </c>
      <c r="B18" s="1" t="s">
        <v>9</v>
      </c>
    </row>
    <row r="19" spans="1:9" x14ac:dyDescent="0.2">
      <c r="B19" s="1" t="s">
        <v>27</v>
      </c>
    </row>
    <row r="21" spans="1:9" x14ac:dyDescent="0.2">
      <c r="B21" s="1" t="s">
        <v>10</v>
      </c>
      <c r="G21" s="1" t="s">
        <v>11</v>
      </c>
    </row>
    <row r="23" spans="1:9" x14ac:dyDescent="0.2">
      <c r="B23" s="1" t="s">
        <v>12</v>
      </c>
      <c r="G23" s="1" t="s">
        <v>11</v>
      </c>
    </row>
    <row r="26" spans="1:9" ht="15" x14ac:dyDescent="0.25">
      <c r="B26" s="1" t="s">
        <v>14</v>
      </c>
      <c r="G26" s="1" t="s">
        <v>62</v>
      </c>
    </row>
    <row r="27" spans="1:9" ht="15" x14ac:dyDescent="0.25">
      <c r="G27" s="1" t="s">
        <v>61</v>
      </c>
    </row>
    <row r="29" spans="1:9" x14ac:dyDescent="0.2">
      <c r="B29" s="14" t="s">
        <v>21</v>
      </c>
      <c r="G29" s="14" t="s">
        <v>19</v>
      </c>
    </row>
    <row r="30" spans="1:9" x14ac:dyDescent="0.2">
      <c r="B30" s="1" t="s">
        <v>13</v>
      </c>
      <c r="D30" s="1" t="s">
        <v>17</v>
      </c>
      <c r="G30" s="1" t="s">
        <v>20</v>
      </c>
      <c r="I30" s="1" t="s">
        <v>22</v>
      </c>
    </row>
    <row r="31" spans="1:9" ht="15" x14ac:dyDescent="0.25">
      <c r="B31" s="1" t="s">
        <v>64</v>
      </c>
      <c r="D31" s="1" t="s">
        <v>66</v>
      </c>
      <c r="G31" s="1" t="s">
        <v>68</v>
      </c>
      <c r="I31" s="1" t="s">
        <v>70</v>
      </c>
    </row>
    <row r="34" spans="1:11" x14ac:dyDescent="0.2">
      <c r="B34" s="14" t="s">
        <v>15</v>
      </c>
      <c r="G34" s="14" t="s">
        <v>29</v>
      </c>
    </row>
    <row r="35" spans="1:11" x14ac:dyDescent="0.2">
      <c r="B35" s="1" t="s">
        <v>16</v>
      </c>
      <c r="D35" s="1" t="s">
        <v>18</v>
      </c>
      <c r="G35" s="1" t="s">
        <v>23</v>
      </c>
      <c r="I35" s="1" t="s">
        <v>24</v>
      </c>
    </row>
    <row r="36" spans="1:11" ht="15" x14ac:dyDescent="0.25">
      <c r="B36" s="1" t="s">
        <v>65</v>
      </c>
      <c r="D36" s="1" t="s">
        <v>67</v>
      </c>
      <c r="G36" s="1" t="s">
        <v>69</v>
      </c>
      <c r="I36" s="1" t="s">
        <v>71</v>
      </c>
    </row>
    <row r="40" spans="1:11" x14ac:dyDescent="0.2">
      <c r="B40" s="3" t="s">
        <v>25</v>
      </c>
    </row>
    <row r="42" spans="1:11" ht="15" x14ac:dyDescent="0.25">
      <c r="A42" s="1" t="s">
        <v>30</v>
      </c>
      <c r="B42" s="15" t="s">
        <v>0</v>
      </c>
      <c r="C42" s="15" t="s">
        <v>1</v>
      </c>
      <c r="D42" s="15" t="s">
        <v>2</v>
      </c>
      <c r="E42" s="15" t="s">
        <v>3</v>
      </c>
      <c r="F42" s="15" t="s">
        <v>4</v>
      </c>
      <c r="G42" s="16" t="s">
        <v>57</v>
      </c>
      <c r="I42" s="12" t="s">
        <v>53</v>
      </c>
      <c r="J42" s="13"/>
      <c r="K42" s="13"/>
    </row>
    <row r="43" spans="1:11" x14ac:dyDescent="0.2">
      <c r="A43" s="1">
        <v>1</v>
      </c>
      <c r="B43" s="2">
        <v>0.1</v>
      </c>
      <c r="C43" s="2">
        <v>1.5</v>
      </c>
      <c r="D43" s="2"/>
      <c r="E43" s="2"/>
      <c r="F43" s="2"/>
      <c r="G43" s="2"/>
      <c r="I43" s="7" t="s">
        <v>5</v>
      </c>
      <c r="J43" s="7">
        <v>0.01</v>
      </c>
      <c r="K43" s="7" t="s">
        <v>6</v>
      </c>
    </row>
    <row r="44" spans="1:11" x14ac:dyDescent="0.2">
      <c r="A44" s="1">
        <v>2</v>
      </c>
      <c r="B44" s="2">
        <v>0.3</v>
      </c>
      <c r="C44" s="2">
        <v>5.6</v>
      </c>
      <c r="D44" s="2">
        <f>B44-B43</f>
        <v>0.19999999999999998</v>
      </c>
      <c r="E44" s="2">
        <f>C44-C43</f>
        <v>4.0999999999999996</v>
      </c>
      <c r="F44" s="2">
        <f>E44/D44</f>
        <v>20.5</v>
      </c>
      <c r="G44" s="5">
        <f>F44*(0.01/B44+0.1/C44)</f>
        <v>1.049404761904762</v>
      </c>
      <c r="I44" s="6" t="s">
        <v>7</v>
      </c>
      <c r="J44" s="6">
        <v>0.1</v>
      </c>
      <c r="K44" s="6" t="s">
        <v>8</v>
      </c>
    </row>
    <row r="45" spans="1:11" x14ac:dyDescent="0.2">
      <c r="A45" s="1">
        <v>3</v>
      </c>
      <c r="B45" s="2">
        <v>0.4</v>
      </c>
      <c r="C45" s="2">
        <v>7.5</v>
      </c>
      <c r="D45" s="2">
        <f t="shared" ref="D45:D52" si="3">B45-B44</f>
        <v>0.10000000000000003</v>
      </c>
      <c r="E45" s="2">
        <f t="shared" ref="E45:E52" si="4">C45-C44</f>
        <v>1.9000000000000004</v>
      </c>
      <c r="F45" s="2">
        <f t="shared" ref="F45:F52" si="5">E45/D45</f>
        <v>18.999999999999996</v>
      </c>
      <c r="G45" s="5">
        <f>F45*(J$43/B45+J$44/C45)</f>
        <v>0.72833333333333317</v>
      </c>
    </row>
    <row r="46" spans="1:11" x14ac:dyDescent="0.2">
      <c r="A46" s="1">
        <v>4</v>
      </c>
      <c r="B46" s="2">
        <v>0.6</v>
      </c>
      <c r="C46" s="2">
        <v>11.5</v>
      </c>
      <c r="D46" s="2">
        <f t="shared" si="3"/>
        <v>0.19999999999999996</v>
      </c>
      <c r="E46" s="2">
        <f t="shared" si="4"/>
        <v>4</v>
      </c>
      <c r="F46" s="2">
        <f t="shared" si="5"/>
        <v>20.000000000000004</v>
      </c>
      <c r="G46" s="5">
        <f t="shared" ref="G46:G52" si="6">F46*(J$43/B46+J$44/C46)</f>
        <v>0.50724637681159435</v>
      </c>
    </row>
    <row r="47" spans="1:11" x14ac:dyDescent="0.2">
      <c r="A47" s="1">
        <v>5</v>
      </c>
      <c r="B47" s="2">
        <v>0.7</v>
      </c>
      <c r="C47" s="2">
        <v>14</v>
      </c>
      <c r="D47" s="2">
        <f t="shared" si="3"/>
        <v>9.9999999999999978E-2</v>
      </c>
      <c r="E47" s="2">
        <f t="shared" si="4"/>
        <v>2.5</v>
      </c>
      <c r="F47" s="2">
        <f t="shared" si="5"/>
        <v>25.000000000000007</v>
      </c>
      <c r="G47" s="5">
        <f t="shared" si="6"/>
        <v>0.53571428571428592</v>
      </c>
    </row>
    <row r="48" spans="1:11" x14ac:dyDescent="0.2">
      <c r="A48" s="1">
        <v>6</v>
      </c>
      <c r="B48" s="2">
        <v>0.8</v>
      </c>
      <c r="C48" s="2">
        <v>16.399999999999999</v>
      </c>
      <c r="D48" s="2">
        <f t="shared" si="3"/>
        <v>0.10000000000000009</v>
      </c>
      <c r="E48" s="2">
        <f t="shared" si="4"/>
        <v>2.3999999999999986</v>
      </c>
      <c r="F48" s="2">
        <f t="shared" si="5"/>
        <v>23.999999999999964</v>
      </c>
      <c r="G48" s="5">
        <f t="shared" si="6"/>
        <v>0.44634146341463349</v>
      </c>
    </row>
    <row r="49" spans="1:12" x14ac:dyDescent="0.2">
      <c r="A49" s="1">
        <v>7</v>
      </c>
      <c r="B49" s="2">
        <v>0.9</v>
      </c>
      <c r="C49" s="2">
        <v>19</v>
      </c>
      <c r="D49" s="2">
        <f t="shared" si="3"/>
        <v>9.9999999999999978E-2</v>
      </c>
      <c r="E49" s="2">
        <f t="shared" si="4"/>
        <v>2.6000000000000014</v>
      </c>
      <c r="F49" s="2">
        <f t="shared" si="5"/>
        <v>26.000000000000021</v>
      </c>
      <c r="G49" s="5">
        <f t="shared" si="6"/>
        <v>0.42573099415204718</v>
      </c>
    </row>
    <row r="50" spans="1:12" x14ac:dyDescent="0.2">
      <c r="A50" s="1">
        <v>8</v>
      </c>
      <c r="B50" s="2">
        <v>1.1000000000000001</v>
      </c>
      <c r="C50" s="2">
        <v>25</v>
      </c>
      <c r="D50" s="2">
        <f t="shared" si="3"/>
        <v>0.20000000000000007</v>
      </c>
      <c r="E50" s="2">
        <f t="shared" si="4"/>
        <v>6</v>
      </c>
      <c r="F50" s="2">
        <f t="shared" si="5"/>
        <v>29.999999999999989</v>
      </c>
      <c r="G50" s="5">
        <f t="shared" si="6"/>
        <v>0.39272727272727259</v>
      </c>
    </row>
    <row r="51" spans="1:12" x14ac:dyDescent="0.2">
      <c r="A51" s="1">
        <v>9</v>
      </c>
      <c r="B51" s="2">
        <v>1.2</v>
      </c>
      <c r="C51" s="2">
        <v>28</v>
      </c>
      <c r="D51" s="2">
        <f t="shared" si="3"/>
        <v>9.9999999999999867E-2</v>
      </c>
      <c r="E51" s="2">
        <f t="shared" si="4"/>
        <v>3</v>
      </c>
      <c r="F51" s="2">
        <f t="shared" si="5"/>
        <v>30.000000000000039</v>
      </c>
      <c r="G51" s="5">
        <f t="shared" si="6"/>
        <v>0.35714285714285759</v>
      </c>
    </row>
    <row r="52" spans="1:12" ht="15" thickBot="1" x14ac:dyDescent="0.25">
      <c r="A52" s="1">
        <v>10</v>
      </c>
      <c r="B52" s="2">
        <v>1.5</v>
      </c>
      <c r="C52" s="2">
        <v>35.5</v>
      </c>
      <c r="D52" s="2">
        <f t="shared" si="3"/>
        <v>0.30000000000000004</v>
      </c>
      <c r="E52" s="2">
        <f t="shared" si="4"/>
        <v>7.5</v>
      </c>
      <c r="F52" s="4">
        <f t="shared" si="5"/>
        <v>24.999999999999996</v>
      </c>
      <c r="G52" s="9">
        <f t="shared" si="6"/>
        <v>0.23708920187793425</v>
      </c>
    </row>
    <row r="53" spans="1:12" ht="15" thickTop="1" x14ac:dyDescent="0.2">
      <c r="B53" s="2"/>
      <c r="C53" s="2"/>
      <c r="D53" s="2"/>
      <c r="E53" s="2"/>
      <c r="F53" s="5">
        <f>AVERAGE(F44:F52)</f>
        <v>24.388888888888893</v>
      </c>
      <c r="G53" s="2" t="s">
        <v>31</v>
      </c>
      <c r="H53" s="20" t="s">
        <v>55</v>
      </c>
    </row>
    <row r="56" spans="1:12" ht="20.25" x14ac:dyDescent="0.3">
      <c r="A56" s="17" t="s">
        <v>35</v>
      </c>
      <c r="B56" s="1" t="s">
        <v>33</v>
      </c>
    </row>
    <row r="58" spans="1:12" ht="15" x14ac:dyDescent="0.25">
      <c r="B58" s="25" t="s">
        <v>58</v>
      </c>
      <c r="C58" s="25"/>
      <c r="D58" s="2">
        <f>(MAX(F44:F52)-MIN(F44:F52))/2</f>
        <v>5.5000000000000213</v>
      </c>
      <c r="E58" s="1" t="s">
        <v>32</v>
      </c>
      <c r="F58" s="3" t="s">
        <v>47</v>
      </c>
    </row>
    <row r="60" spans="1:12" ht="15" thickBot="1" x14ac:dyDescent="0.25"/>
    <row r="61" spans="1:12" ht="15.75" customHeight="1" thickBot="1" x14ac:dyDescent="0.25">
      <c r="B61" s="1" t="s">
        <v>34</v>
      </c>
      <c r="E61" s="22" t="s">
        <v>59</v>
      </c>
      <c r="F61" s="23"/>
      <c r="G61" s="23"/>
      <c r="H61" s="24"/>
      <c r="J61" s="26" t="s">
        <v>56</v>
      </c>
      <c r="K61" s="26"/>
      <c r="L61" s="26"/>
    </row>
    <row r="62" spans="1:12" x14ac:dyDescent="0.2">
      <c r="J62" s="26"/>
      <c r="K62" s="26"/>
      <c r="L62" s="26"/>
    </row>
    <row r="63" spans="1:12" ht="15" x14ac:dyDescent="0.25">
      <c r="E63" s="2" t="s">
        <v>60</v>
      </c>
      <c r="F63" s="8">
        <f>AVERAGE(G44:G52)/SQRT(10)</f>
        <v>0.16442897071816207</v>
      </c>
      <c r="G63" s="1" t="s">
        <v>32</v>
      </c>
    </row>
    <row r="66" spans="1:13" ht="20.25" x14ac:dyDescent="0.3">
      <c r="A66" s="17" t="s">
        <v>36</v>
      </c>
      <c r="B66" s="1" t="s">
        <v>37</v>
      </c>
    </row>
    <row r="68" spans="1:13" x14ac:dyDescent="0.2">
      <c r="B68" s="3" t="s">
        <v>63</v>
      </c>
    </row>
    <row r="72" spans="1:13" ht="20.25" x14ac:dyDescent="0.3">
      <c r="A72" s="17" t="s">
        <v>38</v>
      </c>
      <c r="H72" s="1" t="s">
        <v>39</v>
      </c>
    </row>
    <row r="74" spans="1:13" x14ac:dyDescent="0.2">
      <c r="H74" s="27" t="s">
        <v>40</v>
      </c>
      <c r="I74" s="27"/>
      <c r="J74" s="27"/>
      <c r="K74" s="27"/>
      <c r="L74" s="27"/>
      <c r="M74" s="27"/>
    </row>
    <row r="75" spans="1:13" x14ac:dyDescent="0.2">
      <c r="H75" s="27"/>
      <c r="I75" s="27"/>
      <c r="J75" s="27"/>
      <c r="K75" s="27"/>
      <c r="L75" s="27"/>
      <c r="M75" s="27"/>
    </row>
    <row r="76" spans="1:13" x14ac:dyDescent="0.2">
      <c r="H76" s="27"/>
      <c r="I76" s="27"/>
      <c r="J76" s="27"/>
      <c r="K76" s="27"/>
      <c r="L76" s="27"/>
      <c r="M76" s="27"/>
    </row>
    <row r="78" spans="1:13" x14ac:dyDescent="0.2">
      <c r="H78" s="1" t="s">
        <v>41</v>
      </c>
    </row>
    <row r="79" spans="1:13" ht="15" thickBot="1" x14ac:dyDescent="0.25"/>
    <row r="80" spans="1:13" ht="24.75" customHeight="1" thickBot="1" x14ac:dyDescent="0.25">
      <c r="H80" s="22" t="s">
        <v>72</v>
      </c>
      <c r="I80" s="23"/>
      <c r="J80" s="24"/>
    </row>
    <row r="82" spans="8:11" x14ac:dyDescent="0.2">
      <c r="H82" s="1" t="s">
        <v>48</v>
      </c>
    </row>
    <row r="84" spans="8:11" x14ac:dyDescent="0.2">
      <c r="H84" s="2" t="s">
        <v>46</v>
      </c>
      <c r="I84" s="2">
        <f>ABS(F53-24.62)/F63</f>
        <v>1.4055376622605149</v>
      </c>
    </row>
    <row r="87" spans="8:11" x14ac:dyDescent="0.2">
      <c r="H87" s="18" t="s">
        <v>49</v>
      </c>
      <c r="I87" s="21" t="s">
        <v>42</v>
      </c>
      <c r="J87" s="21"/>
      <c r="K87" s="21"/>
    </row>
    <row r="88" spans="8:11" x14ac:dyDescent="0.2">
      <c r="H88" s="18" t="s">
        <v>50</v>
      </c>
      <c r="I88" s="21" t="s">
        <v>43</v>
      </c>
      <c r="J88" s="21"/>
      <c r="K88" s="21"/>
    </row>
    <row r="89" spans="8:11" x14ac:dyDescent="0.2">
      <c r="H89" s="18" t="s">
        <v>51</v>
      </c>
      <c r="I89" s="21" t="s">
        <v>44</v>
      </c>
      <c r="J89" s="21"/>
      <c r="K89" s="21"/>
    </row>
    <row r="90" spans="8:11" x14ac:dyDescent="0.2">
      <c r="H90" s="18" t="s">
        <v>52</v>
      </c>
      <c r="I90" s="21" t="s">
        <v>45</v>
      </c>
      <c r="J90" s="21"/>
      <c r="K90" s="21"/>
    </row>
  </sheetData>
  <mergeCells count="9">
    <mergeCell ref="I88:K88"/>
    <mergeCell ref="I89:K89"/>
    <mergeCell ref="I90:K90"/>
    <mergeCell ref="E61:H61"/>
    <mergeCell ref="B58:C58"/>
    <mergeCell ref="J61:L62"/>
    <mergeCell ref="H80:J80"/>
    <mergeCell ref="H74:M76"/>
    <mergeCell ref="I87:K87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SABATINO LORENZO MAURO</dc:creator>
  <cp:lastModifiedBy>SABATINO LORENZO MAURO</cp:lastModifiedBy>
  <dcterms:created xsi:type="dcterms:W3CDTF">2026-03-01T12:10:40Z</dcterms:created>
  <dcterms:modified xsi:type="dcterms:W3CDTF">2026-03-09T09:15:24Z</dcterms:modified>
</cp:coreProperties>
</file>