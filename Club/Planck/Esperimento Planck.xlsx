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IOdg3rD9wOF4v6NJ+IFydYiF2wHrrgWg1fa9SVYDFRo="/>
    </ext>
  </extLst>
</workbook>
</file>

<file path=xl/sharedStrings.xml><?xml version="1.0" encoding="utf-8"?>
<sst xmlns="http://schemas.openxmlformats.org/spreadsheetml/2006/main" count="29" uniqueCount="29">
  <si>
    <t>Esperimento costante di Planck</t>
  </si>
  <si>
    <t xml:space="preserve">GRUPPO: </t>
  </si>
  <si>
    <t>Led</t>
  </si>
  <si>
    <t>Rossa</t>
  </si>
  <si>
    <t>Verde</t>
  </si>
  <si>
    <t>Blu</t>
  </si>
  <si>
    <t>Gialla</t>
  </si>
  <si>
    <t>Incertezze</t>
  </si>
  <si>
    <t>Strumento</t>
  </si>
  <si>
    <t>Errore</t>
  </si>
  <si>
    <t>Unità di misura</t>
  </si>
  <si>
    <t>Frequenza (Hz)</t>
  </si>
  <si>
    <t>Generatore</t>
  </si>
  <si>
    <t>Voltmetro</t>
  </si>
  <si>
    <t>Legge</t>
  </si>
  <si>
    <r>
      <rPr>
        <rFont val="Aptos Narrow"/>
        <color theme="1"/>
      </rPr>
      <t>E = h</t>
    </r>
    <r>
      <rPr>
        <rFont val="Aptos Narrow"/>
        <color theme="1"/>
        <sz val="11.0"/>
      </rPr>
      <t>υ</t>
    </r>
  </si>
  <si>
    <t>E = e*T_s</t>
  </si>
  <si>
    <t>→</t>
  </si>
  <si>
    <t>hυ = e*T_s</t>
  </si>
  <si>
    <t xml:space="preserve">e = </t>
  </si>
  <si>
    <t>C</t>
  </si>
  <si>
    <t>h = e*T_s/υ</t>
  </si>
  <si>
    <t>υ =</t>
  </si>
  <si>
    <t xml:space="preserve">Hz </t>
  </si>
  <si>
    <t>Raccolta dati</t>
  </si>
  <si>
    <t>Grafico</t>
  </si>
  <si>
    <t>Tensione (V)</t>
  </si>
  <si>
    <t>Corrente (mA)</t>
  </si>
  <si>
    <t>T_soglia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</si>
</sst>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22.0"/>
      <color theme="1"/>
      <name val="Times New Roman"/>
    </font>
    <font>
      <b/>
      <sz val="11.0"/>
      <color theme="1"/>
      <name val="Aptos Narrow"/>
    </font>
    <font>
      <i/>
      <sz val="11.0"/>
      <color theme="1"/>
      <name val="Aptos Narrow"/>
    </font>
    <font>
      <sz val="11.0"/>
      <color theme="1"/>
      <name val="Aptos Narrow"/>
    </font>
    <font/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</fills>
  <borders count="10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1" fillId="2" fontId="3" numFmtId="0" xfId="0" applyBorder="1" applyFill="1" applyFont="1"/>
    <xf borderId="2" fillId="0" fontId="4" numFmtId="0" xfId="0" applyAlignment="1" applyBorder="1" applyFont="1">
      <alignment horizontal="center"/>
    </xf>
    <xf borderId="1" fillId="3" fontId="3" numFmtId="0" xfId="0" applyBorder="1" applyFill="1" applyFont="1"/>
    <xf borderId="3" fillId="0" fontId="2" numFmtId="0" xfId="0" applyAlignment="1" applyBorder="1" applyFont="1">
      <alignment horizontal="center"/>
    </xf>
    <xf borderId="3" fillId="0" fontId="5" numFmtId="0" xfId="0" applyBorder="1" applyFont="1"/>
    <xf borderId="0" fillId="0" fontId="6" numFmtId="0" xfId="0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4" fillId="0" fontId="4" numFmtId="0" xfId="0" applyBorder="1" applyFont="1"/>
    <xf borderId="0" fillId="0" fontId="4" numFmtId="0" xfId="0" applyAlignment="1" applyFont="1">
      <alignment horizontal="center"/>
    </xf>
    <xf borderId="0" fillId="0" fontId="7" numFmtId="0" xfId="0" applyAlignment="1" applyFont="1">
      <alignment readingOrder="0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9" fillId="0" fontId="4" numFmtId="0" xfId="0" applyBorder="1" applyFont="1"/>
    <xf borderId="1" fillId="4" fontId="4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5"/>
    <col customWidth="1" min="3" max="3" width="11.63"/>
    <col customWidth="1" min="4" max="5" width="7.63"/>
    <col customWidth="1" min="6" max="6" width="11.75"/>
    <col customWidth="1" min="7" max="9" width="7.63"/>
    <col customWidth="1" min="10" max="10" width="9.25"/>
    <col customWidth="1" min="11" max="11" width="8.13"/>
    <col customWidth="1" min="12" max="12" width="9.38"/>
    <col customWidth="1" min="13" max="26" width="7.63"/>
  </cols>
  <sheetData>
    <row r="3">
      <c r="B3" s="1" t="s">
        <v>0</v>
      </c>
    </row>
    <row r="5">
      <c r="B5" s="2" t="s">
        <v>1</v>
      </c>
    </row>
    <row r="8">
      <c r="B8" s="3" t="s">
        <v>2</v>
      </c>
      <c r="C8" s="4" t="s">
        <v>3</v>
      </c>
      <c r="D8" s="4" t="s">
        <v>4</v>
      </c>
      <c r="E8" s="4" t="s">
        <v>5</v>
      </c>
      <c r="F8" s="4" t="s">
        <v>6</v>
      </c>
      <c r="J8" s="5" t="s">
        <v>7</v>
      </c>
      <c r="L8" s="6" t="s">
        <v>8</v>
      </c>
      <c r="M8" s="6" t="s">
        <v>9</v>
      </c>
      <c r="N8" s="6" t="s">
        <v>10</v>
      </c>
      <c r="O8" s="7"/>
    </row>
    <row r="9">
      <c r="B9" s="8" t="s">
        <v>11</v>
      </c>
      <c r="C9" s="9">
        <f>4.8*10^14</f>
        <v>480000000000000</v>
      </c>
      <c r="D9" s="10">
        <f> 5.3*10^14</f>
        <v>530000000000000</v>
      </c>
      <c r="E9" s="10">
        <f> 6.5*10^14</f>
        <v>650000000000000</v>
      </c>
      <c r="F9" s="8">
        <f>5.1*10^14</f>
        <v>510000000000000</v>
      </c>
      <c r="L9" s="8" t="s">
        <v>12</v>
      </c>
    </row>
    <row r="10">
      <c r="L10" s="11" t="s">
        <v>13</v>
      </c>
      <c r="M10" s="11"/>
      <c r="N10" s="11"/>
      <c r="O10" s="11"/>
    </row>
    <row r="14">
      <c r="B14" s="3" t="s">
        <v>14</v>
      </c>
      <c r="C14" s="8" t="s">
        <v>15</v>
      </c>
      <c r="D14" s="8" t="s">
        <v>16</v>
      </c>
      <c r="E14" s="12" t="s">
        <v>17</v>
      </c>
      <c r="F14" s="8" t="s">
        <v>18</v>
      </c>
      <c r="J14" s="12" t="s">
        <v>19</v>
      </c>
      <c r="K14" s="8">
        <f>1.6*10^(-19)</f>
        <v>0</v>
      </c>
      <c r="L14" s="13" t="s">
        <v>20</v>
      </c>
    </row>
    <row r="15">
      <c r="F15" s="14" t="s">
        <v>21</v>
      </c>
      <c r="J15" s="12" t="s">
        <v>22</v>
      </c>
      <c r="L15" s="8" t="s">
        <v>23</v>
      </c>
    </row>
    <row r="21" ht="15.75" customHeight="1">
      <c r="B21" s="5" t="s">
        <v>24</v>
      </c>
      <c r="F21" s="5" t="s">
        <v>25</v>
      </c>
    </row>
    <row r="22" ht="15.75" customHeight="1"/>
    <row r="23" ht="15.75" customHeight="1">
      <c r="B23" s="15" t="s">
        <v>26</v>
      </c>
      <c r="C23" s="16" t="s">
        <v>27</v>
      </c>
    </row>
    <row r="24" ht="15.75" customHeight="1">
      <c r="B24" s="17">
        <v>2.8</v>
      </c>
      <c r="C24" s="18">
        <v>3.56</v>
      </c>
    </row>
    <row r="25" ht="15.75" customHeight="1">
      <c r="B25" s="19">
        <v>3.8</v>
      </c>
      <c r="C25" s="18">
        <v>15.0</v>
      </c>
    </row>
    <row r="26" ht="15.75" customHeight="1">
      <c r="B26" s="19">
        <v>3.3</v>
      </c>
      <c r="C26" s="18">
        <v>20.0</v>
      </c>
    </row>
    <row r="27" ht="15.75" customHeight="1">
      <c r="B27" s="19">
        <v>4.1</v>
      </c>
      <c r="C27" s="18">
        <v>24.0</v>
      </c>
    </row>
    <row r="28" ht="15.75" customHeight="1">
      <c r="B28" s="19">
        <v>5.3</v>
      </c>
      <c r="C28" s="18">
        <v>81.0</v>
      </c>
    </row>
    <row r="29" ht="15.75" customHeight="1">
      <c r="B29" s="20"/>
    </row>
    <row r="30" ht="15.75" customHeight="1">
      <c r="B30" s="20"/>
    </row>
    <row r="31" ht="15.75" customHeight="1">
      <c r="B31" s="20"/>
    </row>
    <row r="32" ht="15.75" customHeight="1"/>
    <row r="33" ht="15.75" customHeight="1"/>
    <row r="34" ht="15.75" customHeight="1">
      <c r="B34" s="21" t="s">
        <v>28</v>
      </c>
    </row>
    <row r="35" ht="15.75" customHeight="1"/>
    <row r="36" ht="15.75" customHeight="1">
      <c r="B36" s="2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G3"/>
    <mergeCell ref="N8:O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2025-11-03T09:14:20Z</dcterms:created>
  <dc:creator>SABATINO LORENZO MAURO</dc:creator>
</cp:coreProperties>
</file>