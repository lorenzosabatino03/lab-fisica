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cuments\Lab Fisica scuola\2025-2026\"/>
    </mc:Choice>
  </mc:AlternateContent>
  <xr:revisionPtr revIDLastSave="0" documentId="8_{E7425883-9AC4-4A36-833E-2CF06418CF26}" xr6:coauthVersionLast="47" xr6:coauthVersionMax="47" xr10:uidLastSave="{00000000-0000-0000-0000-000000000000}"/>
  <bookViews>
    <workbookView xWindow="-120" yWindow="-120" windowWidth="20730" windowHeight="11040" xr2:uid="{F7E03A77-0963-489C-A534-0EF0EB424E6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0" i="1" l="1"/>
  <c r="P37" i="1"/>
  <c r="P22" i="1"/>
  <c r="P19" i="1"/>
  <c r="P8" i="1"/>
  <c r="C10" i="1"/>
  <c r="C9" i="1"/>
  <c r="P6" i="1"/>
</calcChain>
</file>

<file path=xl/sharedStrings.xml><?xml version="1.0" encoding="utf-8"?>
<sst xmlns="http://schemas.openxmlformats.org/spreadsheetml/2006/main" count="20" uniqueCount="11">
  <si>
    <t>Dati Planck</t>
  </si>
  <si>
    <t>Valeria</t>
  </si>
  <si>
    <t>Led rossa</t>
  </si>
  <si>
    <t>T</t>
  </si>
  <si>
    <t>I</t>
  </si>
  <si>
    <t>Led gialla</t>
  </si>
  <si>
    <t xml:space="preserve">Ts = </t>
  </si>
  <si>
    <t>e =</t>
  </si>
  <si>
    <t>f =</t>
  </si>
  <si>
    <t xml:space="preserve">h = </t>
  </si>
  <si>
    <t>Francesco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</si>
</sst>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Century"/>
      <family val="1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Foglio1!$D$6:$D$11</c:f>
              <c:numCache>
                <c:formatCode>General</c:formatCode>
                <c:ptCount val="6"/>
                <c:pt idx="0">
                  <c:v>1.5</c:v>
                </c:pt>
                <c:pt idx="1">
                  <c:v>1.7</c:v>
                </c:pt>
                <c:pt idx="2">
                  <c:v>1.9</c:v>
                </c:pt>
                <c:pt idx="3">
                  <c:v>2.2000000000000002</c:v>
                </c:pt>
                <c:pt idx="4">
                  <c:v>2.5</c:v>
                </c:pt>
                <c:pt idx="5">
                  <c:v>2.8</c:v>
                </c:pt>
              </c:numCache>
            </c:numRef>
          </c:xVal>
          <c:yVal>
            <c:numRef>
              <c:f>Foglio1!$E$6:$E$11</c:f>
              <c:numCache>
                <c:formatCode>General</c:formatCode>
                <c:ptCount val="6"/>
                <c:pt idx="0">
                  <c:v>0.01</c:v>
                </c:pt>
                <c:pt idx="1">
                  <c:v>0.12</c:v>
                </c:pt>
                <c:pt idx="2">
                  <c:v>1.35</c:v>
                </c:pt>
                <c:pt idx="3">
                  <c:v>5.39</c:v>
                </c:pt>
                <c:pt idx="4">
                  <c:v>14.23</c:v>
                </c:pt>
                <c:pt idx="5">
                  <c:v>48.5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6D-4C35-A211-CE06AC1D492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6655730533683288"/>
                  <c:y val="2.6631671041119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Foglio1!$D$9:$D$11</c:f>
              <c:numCache>
                <c:formatCode>General</c:formatCode>
                <c:ptCount val="3"/>
                <c:pt idx="0">
                  <c:v>2.2000000000000002</c:v>
                </c:pt>
                <c:pt idx="1">
                  <c:v>2.5</c:v>
                </c:pt>
                <c:pt idx="2">
                  <c:v>2.8</c:v>
                </c:pt>
              </c:numCache>
            </c:numRef>
          </c:xVal>
          <c:yVal>
            <c:numRef>
              <c:f>Foglio1!$E$9:$E$11</c:f>
              <c:numCache>
                <c:formatCode>General</c:formatCode>
                <c:ptCount val="3"/>
                <c:pt idx="0">
                  <c:v>5.39</c:v>
                </c:pt>
                <c:pt idx="1">
                  <c:v>14.23</c:v>
                </c:pt>
                <c:pt idx="2">
                  <c:v>48.5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6D-4C35-A211-CE06AC1D4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081808"/>
        <c:axId val="769088048"/>
      </c:scatterChart>
      <c:valAx>
        <c:axId val="76908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9088048"/>
        <c:crosses val="autoZero"/>
        <c:crossBetween val="midCat"/>
      </c:valAx>
      <c:valAx>
        <c:axId val="76908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908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Foglio1!$D$21:$D$26</c:f>
              <c:numCache>
                <c:formatCode>General</c:formatCode>
                <c:ptCount val="6"/>
                <c:pt idx="0">
                  <c:v>1.5</c:v>
                </c:pt>
                <c:pt idx="1">
                  <c:v>1.7</c:v>
                </c:pt>
                <c:pt idx="2">
                  <c:v>1.9</c:v>
                </c:pt>
                <c:pt idx="3">
                  <c:v>2.2000000000000002</c:v>
                </c:pt>
                <c:pt idx="4">
                  <c:v>2.5</c:v>
                </c:pt>
                <c:pt idx="5">
                  <c:v>2.8</c:v>
                </c:pt>
              </c:numCache>
            </c:numRef>
          </c:xVal>
          <c:yVal>
            <c:numRef>
              <c:f>Foglio1!$E$21:$E$26</c:f>
              <c:numCache>
                <c:formatCode>General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0.91</c:v>
                </c:pt>
                <c:pt idx="3">
                  <c:v>10.41</c:v>
                </c:pt>
                <c:pt idx="4">
                  <c:v>48.6</c:v>
                </c:pt>
                <c:pt idx="5">
                  <c:v>67.099999999999994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65-4685-9118-7B58D538294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136286089238846"/>
                  <c:y val="4.70917177019539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Foglio1!$D$24:$D$26</c:f>
              <c:numCache>
                <c:formatCode>General</c:formatCode>
                <c:ptCount val="3"/>
                <c:pt idx="0">
                  <c:v>2.2000000000000002</c:v>
                </c:pt>
                <c:pt idx="1">
                  <c:v>2.5</c:v>
                </c:pt>
                <c:pt idx="2">
                  <c:v>2.8</c:v>
                </c:pt>
              </c:numCache>
            </c:numRef>
          </c:xVal>
          <c:yVal>
            <c:numRef>
              <c:f>Foglio1!$E$24:$E$26</c:f>
              <c:numCache>
                <c:formatCode>General</c:formatCode>
                <c:ptCount val="3"/>
                <c:pt idx="0">
                  <c:v>10.41</c:v>
                </c:pt>
                <c:pt idx="1">
                  <c:v>48.6</c:v>
                </c:pt>
                <c:pt idx="2">
                  <c:v>67.099999999999994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65-4685-9118-7B58D5382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095248"/>
        <c:axId val="769093328"/>
      </c:scatterChart>
      <c:valAx>
        <c:axId val="76909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9093328"/>
        <c:crosses val="autoZero"/>
        <c:crossBetween val="midCat"/>
      </c:valAx>
      <c:valAx>
        <c:axId val="76909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909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9588363954505688E-2"/>
                  <c:y val="1.3472222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Foglio1!$D$39:$D$42</c:f>
              <c:numCache>
                <c:formatCode>General</c:formatCode>
                <c:ptCount val="4"/>
                <c:pt idx="0">
                  <c:v>1.9</c:v>
                </c:pt>
                <c:pt idx="1">
                  <c:v>2</c:v>
                </c:pt>
                <c:pt idx="2">
                  <c:v>2.2999999999999998</c:v>
                </c:pt>
                <c:pt idx="3">
                  <c:v>2.4</c:v>
                </c:pt>
              </c:numCache>
            </c:numRef>
          </c:xVal>
          <c:yVal>
            <c:numRef>
              <c:f>Foglio1!$E$39:$E$42</c:f>
              <c:numCache>
                <c:formatCode>General</c:formatCode>
                <c:ptCount val="4"/>
                <c:pt idx="0">
                  <c:v>0.72</c:v>
                </c:pt>
                <c:pt idx="1">
                  <c:v>2.39</c:v>
                </c:pt>
                <c:pt idx="2">
                  <c:v>15.31</c:v>
                </c:pt>
                <c:pt idx="3">
                  <c:v>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2F-4288-8FB3-74A6FFB0C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105808"/>
        <c:axId val="769106288"/>
      </c:scatterChart>
      <c:valAx>
        <c:axId val="76910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9106288"/>
        <c:crosses val="autoZero"/>
        <c:crossBetween val="midCat"/>
      </c:valAx>
      <c:valAx>
        <c:axId val="76910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9105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</xdr:row>
      <xdr:rowOff>128587</xdr:rowOff>
    </xdr:from>
    <xdr:to>
      <xdr:col>13</xdr:col>
      <xdr:colOff>266700</xdr:colOff>
      <xdr:row>15</xdr:row>
      <xdr:rowOff>71437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21FB9FF-FE85-633F-FA5C-B19C0D7E3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552450</xdr:colOff>
      <xdr:row>17</xdr:row>
      <xdr:rowOff>33337</xdr:rowOff>
    </xdr:from>
    <xdr:to>
      <xdr:col>13</xdr:col>
      <xdr:colOff>247650</xdr:colOff>
      <xdr:row>31</xdr:row>
      <xdr:rowOff>109537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902101F-95D0-804C-25F3-4435F33BD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34</xdr:row>
      <xdr:rowOff>71437</xdr:rowOff>
    </xdr:from>
    <xdr:to>
      <xdr:col>13</xdr:col>
      <xdr:colOff>304800</xdr:colOff>
      <xdr:row>48</xdr:row>
      <xdr:rowOff>147637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897272D-B74E-7A1A-9055-F530F56E8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E220-C05F-4F51-A320-78D1438A7A4A}">
  <dimension ref="B2:P42"/>
  <sheetViews>
    <sheetView tabSelected="1" topLeftCell="A32" workbookViewId="0">
      <selection activeCell="B54" sqref="B54"/>
    </sheetView>
  </sheetViews>
  <sheetFormatPr defaultRowHeight="15" x14ac:dyDescent="0.25"/>
  <cols>
    <col min="16" max="16" width="12" bestFit="1" customWidth="1"/>
  </cols>
  <sheetData>
    <row r="2" spans="2:16" ht="25.5" x14ac:dyDescent="0.35">
      <c r="B2" s="1" t="s">
        <v>0</v>
      </c>
    </row>
    <row r="4" spans="2:16" x14ac:dyDescent="0.25">
      <c r="D4" t="s">
        <v>2</v>
      </c>
    </row>
    <row r="5" spans="2:16" x14ac:dyDescent="0.25">
      <c r="B5" t="s">
        <v>1</v>
      </c>
      <c r="D5" t="s">
        <v>3</v>
      </c>
      <c r="E5" t="s">
        <v>4</v>
      </c>
    </row>
    <row r="6" spans="2:16" x14ac:dyDescent="0.25">
      <c r="D6">
        <v>1.5</v>
      </c>
      <c r="E6">
        <v>0.01</v>
      </c>
      <c r="O6" t="s">
        <v>6</v>
      </c>
      <c r="P6">
        <f>156.92/71.85</f>
        <v>2.1839944328462075</v>
      </c>
    </row>
    <row r="7" spans="2:16" x14ac:dyDescent="0.25">
      <c r="D7">
        <v>1.7</v>
      </c>
      <c r="E7">
        <v>0.12</v>
      </c>
    </row>
    <row r="8" spans="2:16" x14ac:dyDescent="0.25">
      <c r="D8">
        <v>1.9</v>
      </c>
      <c r="E8">
        <v>1.35</v>
      </c>
      <c r="O8" t="s">
        <v>9</v>
      </c>
      <c r="P8">
        <f>C9*P6/C10</f>
        <v>7.2799814428206926E-34</v>
      </c>
    </row>
    <row r="9" spans="2:16" x14ac:dyDescent="0.25">
      <c r="B9" t="s">
        <v>7</v>
      </c>
      <c r="C9">
        <f>1.6*10^(-19)</f>
        <v>1.6000000000000002E-19</v>
      </c>
      <c r="D9">
        <v>2.2000000000000002</v>
      </c>
      <c r="E9">
        <v>5.39</v>
      </c>
    </row>
    <row r="10" spans="2:16" x14ac:dyDescent="0.25">
      <c r="B10" t="s">
        <v>8</v>
      </c>
      <c r="C10" s="2">
        <f>4.8*10^14</f>
        <v>480000000000000</v>
      </c>
      <c r="D10">
        <v>2.5</v>
      </c>
      <c r="E10">
        <v>14.23</v>
      </c>
    </row>
    <row r="11" spans="2:16" x14ac:dyDescent="0.25">
      <c r="D11">
        <v>2.8</v>
      </c>
      <c r="E11">
        <v>48.5</v>
      </c>
    </row>
    <row r="19" spans="4:16" x14ac:dyDescent="0.25">
      <c r="D19" t="s">
        <v>5</v>
      </c>
      <c r="O19" t="s">
        <v>6</v>
      </c>
      <c r="P19">
        <f>194.17/94.483</f>
        <v>2.0550786914048027</v>
      </c>
    </row>
    <row r="20" spans="4:16" x14ac:dyDescent="0.25">
      <c r="D20" t="s">
        <v>3</v>
      </c>
      <c r="E20" t="s">
        <v>4</v>
      </c>
    </row>
    <row r="21" spans="4:16" x14ac:dyDescent="0.25">
      <c r="D21">
        <v>1.5</v>
      </c>
      <c r="E21">
        <v>0</v>
      </c>
    </row>
    <row r="22" spans="4:16" x14ac:dyDescent="0.25">
      <c r="D22">
        <v>1.7</v>
      </c>
      <c r="E22">
        <v>0.05</v>
      </c>
      <c r="O22" t="s">
        <v>9</v>
      </c>
      <c r="P22">
        <f>C9*P19/C10</f>
        <v>6.8502623046826756E-34</v>
      </c>
    </row>
    <row r="23" spans="4:16" x14ac:dyDescent="0.25">
      <c r="D23">
        <v>1.9</v>
      </c>
      <c r="E23">
        <v>0.91</v>
      </c>
    </row>
    <row r="24" spans="4:16" x14ac:dyDescent="0.25">
      <c r="D24">
        <v>2.2000000000000002</v>
      </c>
      <c r="E24">
        <v>10.41</v>
      </c>
    </row>
    <row r="25" spans="4:16" x14ac:dyDescent="0.25">
      <c r="D25">
        <v>2.5</v>
      </c>
      <c r="E25">
        <v>48.6</v>
      </c>
    </row>
    <row r="26" spans="4:16" x14ac:dyDescent="0.25">
      <c r="D26">
        <v>2.8</v>
      </c>
      <c r="E26">
        <v>67.099999999999994</v>
      </c>
    </row>
    <row r="37" spans="2:16" x14ac:dyDescent="0.25">
      <c r="B37" t="s">
        <v>10</v>
      </c>
      <c r="D37" t="s">
        <v>5</v>
      </c>
      <c r="O37" t="s">
        <v>6</v>
      </c>
      <c r="P37">
        <f>71.496/37.547</f>
        <v>1.9041734359602631</v>
      </c>
    </row>
    <row r="38" spans="2:16" x14ac:dyDescent="0.25">
      <c r="D38" t="s">
        <v>3</v>
      </c>
      <c r="E38" t="s">
        <v>4</v>
      </c>
    </row>
    <row r="39" spans="2:16" x14ac:dyDescent="0.25">
      <c r="D39">
        <v>1.9</v>
      </c>
      <c r="E39">
        <v>0.72</v>
      </c>
    </row>
    <row r="40" spans="2:16" x14ac:dyDescent="0.25">
      <c r="D40">
        <v>2</v>
      </c>
      <c r="E40">
        <v>2.39</v>
      </c>
      <c r="O40" t="s">
        <v>9</v>
      </c>
      <c r="P40">
        <f>C9*P37/C10</f>
        <v>6.3472447865342107E-34</v>
      </c>
    </row>
    <row r="41" spans="2:16" x14ac:dyDescent="0.25">
      <c r="D41">
        <v>2.2999999999999998</v>
      </c>
      <c r="E41">
        <v>15.31</v>
      </c>
    </row>
    <row r="42" spans="2:16" x14ac:dyDescent="0.25">
      <c r="D42">
        <v>2.4</v>
      </c>
      <c r="E42">
        <v>18.5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SABATINO LORENZO MAURO</dc:creator>
  <cp:lastModifiedBy>SABATINO LORENZO MAURO</cp:lastModifiedBy>
  <dcterms:created xsi:type="dcterms:W3CDTF">2026-03-06T14:43:33Z</dcterms:created>
  <dcterms:modified xsi:type="dcterms:W3CDTF">2026-03-06T15:03:31Z</dcterms:modified>
</cp:coreProperties>
</file>