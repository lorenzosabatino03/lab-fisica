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tente\Documents\Lab Fisica scuola\2025-2026\"/>
    </mc:Choice>
  </mc:AlternateContent>
  <xr:revisionPtr revIDLastSave="0" documentId="13_ncr:1_{BE928B07-5054-4846-9ED2-2F425C5285BC}" xr6:coauthVersionLast="47" xr6:coauthVersionMax="47" xr10:uidLastSave="{00000000-0000-0000-0000-000000000000}"/>
  <bookViews>
    <workbookView xWindow="-120" yWindow="-120" windowWidth="20730" windowHeight="11040" xr2:uid="{E9A1FA89-F798-4FFA-8C8E-3A4B84BF1C59}"/>
  </bookViews>
  <sheets>
    <sheet name="Pt1" sheetId="1" r:id="rId1"/>
    <sheet name="Pt2" sheetId="2" r:id="rId2"/>
    <sheet name="Pt3" sheetId="3" r:id="rId3"/>
    <sheet name="P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3" l="1"/>
  <c r="D44" i="2"/>
  <c r="I37" i="2"/>
  <c r="G46" i="4"/>
</calcChain>
</file>

<file path=xl/sharedStrings.xml><?xml version="1.0" encoding="utf-8"?>
<sst xmlns="http://schemas.openxmlformats.org/spreadsheetml/2006/main" count="62" uniqueCount="60">
  <si>
    <t>Parte 1 - calcoli semplici</t>
  </si>
  <si>
    <t>Per fare un calcolo, clicca sulla cella e scrivi la tua equazione cominciando on "=". In questo modo il foglio di calcolo sa che deve fare il conto che hai scritto</t>
  </si>
  <si>
    <t>Proviamo a sommare 123,4 e 876,5:</t>
  </si>
  <si>
    <t>E se voglio usare un numero già presente sul foglio di calcolo per fare un conto? Basta scrivere il nome della cella all'intero del calcolo che voglio fare</t>
  </si>
  <si>
    <t>Per esempio:</t>
  </si>
  <si>
    <t>Sommiamo:</t>
  </si>
  <si>
    <t xml:space="preserve">La cosa comoda è che se cambio il valore della cella, anche il conto che abbiamo fatto si modificherà </t>
  </si>
  <si>
    <t>Parte 2 - calcoli più complessi</t>
  </si>
  <si>
    <t>Ordine delle operazione</t>
  </si>
  <si>
    <t>Attenzione all'ordine nelle operazioni e alle parentesi</t>
  </si>
  <si>
    <t>Calcoliamo (x+y)/2, con x=5 e y=3</t>
  </si>
  <si>
    <t>x</t>
  </si>
  <si>
    <t>y</t>
  </si>
  <si>
    <t>risultato</t>
  </si>
  <si>
    <t>Media</t>
  </si>
  <si>
    <t>Dovreste già saperlo, c'è un comando apposito. Si scrive =MEDIA() e nelle parentesi si inseriscono  i valori di cui fare la media, separati dal punto e virgola, oppure l'intervallo di valori da mediare</t>
  </si>
  <si>
    <t>Media:</t>
  </si>
  <si>
    <t>Trigonometria</t>
  </si>
  <si>
    <t>Attenzione che per i conti di trigonometria i fogli di calcolo utilizzano i radianti e non i gradi. Per fortuna possiamo convertire facilmente</t>
  </si>
  <si>
    <t>Esempio:</t>
  </si>
  <si>
    <t>convertiamo 45° in radianti</t>
  </si>
  <si>
    <t>gradi (°)</t>
  </si>
  <si>
    <t>radianti</t>
  </si>
  <si>
    <t>N.B. il pi greco in Excel si scrive PI.GRECO()</t>
  </si>
  <si>
    <t>Angolo</t>
  </si>
  <si>
    <t>Seno</t>
  </si>
  <si>
    <t>Calcoliamo il seno di 45° con la funzione 'SEN()'. Prima convertiamo 45° in radianti (o facciamolo direttamente nel seno)</t>
  </si>
  <si>
    <t>Per convertire da gradi a radianti si usa il comando 'RADIANTI()'. Nelle parentesi inseriamo il valore dell'angolo in gradi</t>
  </si>
  <si>
    <t>ora convertiamo pi/4 radianti in gradi, usando 'GRADI()'</t>
  </si>
  <si>
    <t>Parte 3 - calcoli ripetuti</t>
  </si>
  <si>
    <t>Il potere dei fogli di calcolo sta proprio nell'abilità di fare tanti conti ripetuti in modo facile e veloce. Ci serve solo scrivere la formula una volta e poi riempire le celle dove ci interessa fare tale conto con numeri differenti</t>
  </si>
  <si>
    <t>distanza (m)</t>
  </si>
  <si>
    <t>tempo (s)</t>
  </si>
  <si>
    <t>velocità (m/s)</t>
  </si>
  <si>
    <t>Formula: v = s/t</t>
  </si>
  <si>
    <t>Digitiamo nella prima riga: =B9/C9 (in questo caso specifico. In generale dipende dalla posizione dei vostri dati sul foglio). Poi cliccare sulla cella dove compare il risultato di questo conto (cioè la velocità), selezionare lo spigolo in basso a destra e trascinarlo in basso fino a coprire le celle rimanenti della colonna</t>
  </si>
  <si>
    <t>Parte 4 - grafici</t>
  </si>
  <si>
    <t>Forza (N)</t>
  </si>
  <si>
    <t>Allungamento (m)</t>
  </si>
  <si>
    <t>N.B. mettete sempre la variabile indipendente a sinistra (cioè x) e quella dipendente a destra (cioè y). È imprtante per la corretta realizzazione del grafico</t>
  </si>
  <si>
    <t xml:space="preserve">Selezionate i grafici e cliccate su: Inserisci &gt; Dispersione </t>
  </si>
  <si>
    <t>Lezioncina di Excel per il lab di Fisica</t>
  </si>
  <si>
    <t>Così selezioniamo i dati</t>
  </si>
  <si>
    <t>Ora realizziamo un grafico e analizziamolo. Proviamo con la legge di Hooke F = k*x. Calcoliamo anche la costante elastica della molla</t>
  </si>
  <si>
    <t>Ora calcoliamo k. L'equazione della retta che approssima la relazione lineare seguita dai dati è: Y = 0,0499 X - 6*10^(-4)</t>
  </si>
  <si>
    <t>La pendenza della retta è proprio 0,0499 m/N. La legge di Hooke F = k*x è lineare. Pertanto:</t>
  </si>
  <si>
    <t>Y = AX + B</t>
  </si>
  <si>
    <t>x = (Y-B)/A</t>
  </si>
  <si>
    <t>ma qui B = 0. Dunque:</t>
  </si>
  <si>
    <t>x =1/k * F</t>
  </si>
  <si>
    <t>e allora ottengo</t>
  </si>
  <si>
    <t>pendenza = 1/k</t>
  </si>
  <si>
    <t>k = 1/pendenza =</t>
  </si>
  <si>
    <t>1/0,0449 =</t>
  </si>
  <si>
    <t>N/m</t>
  </si>
  <si>
    <r>
      <t xml:space="preserve">N.B. selezionando il grafico e cliccando sul pulsante </t>
    </r>
    <r>
      <rPr>
        <i/>
        <sz val="16"/>
        <color theme="1"/>
        <rFont val="Aptos Narrow"/>
        <family val="2"/>
        <scheme val="minor"/>
      </rPr>
      <t>+</t>
    </r>
    <r>
      <rPr>
        <i/>
        <sz val="11"/>
        <color theme="1"/>
        <rFont val="Aptos Narrow"/>
        <family val="2"/>
        <scheme val="minor"/>
      </rPr>
      <t>, potete modificare e abbellire il grafico (con assi, titolo, legenda, linea di regressione lineare,…)</t>
    </r>
  </si>
  <si>
    <t>N.B. si sarebbe ottenuto lo stesso risultato mettendo F come asse y e l'allungamento come asse x. In tal caso si aveva semplicemente k = pendenza. Tuttavia formalmemte il grafico non è corretto</t>
  </si>
  <si>
    <t>Nel mio caso scriverò: =D16+E16</t>
  </si>
  <si>
    <t>K (N/m)</t>
  </si>
  <si>
    <t>La radice quadrata in Excel in italiano è: RADQ()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</si>
</sst>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8" x14ac:knownFonts="1">
    <font>
      <sz val="11"/>
      <color theme="1"/>
      <name val="Aptos Narrow"/>
      <family val="2"/>
      <scheme val="minor"/>
    </font>
    <font>
      <b/>
      <sz val="12"/>
      <color theme="1"/>
      <name val="Aptos Narrow"/>
      <family val="2"/>
      <scheme val="minor"/>
    </font>
    <font>
      <u/>
      <sz val="11"/>
      <color theme="1"/>
      <name val="Aptos Narrow"/>
      <family val="2"/>
      <scheme val="minor"/>
    </font>
    <font>
      <i/>
      <sz val="11"/>
      <color theme="1"/>
      <name val="Aptos Narrow"/>
      <family val="2"/>
      <scheme val="minor"/>
    </font>
    <font>
      <b/>
      <sz val="14"/>
      <color theme="1"/>
      <name val="Aptos Narrow"/>
      <family val="2"/>
      <scheme val="minor"/>
    </font>
    <font>
      <i/>
      <sz val="12"/>
      <color theme="1"/>
      <name val="Aptos Narrow"/>
      <family val="2"/>
      <scheme val="minor"/>
    </font>
    <font>
      <sz val="20"/>
      <color theme="1"/>
      <name val="Abadi ExtraLight"/>
      <family val="2"/>
    </font>
    <font>
      <i/>
      <sz val="16"/>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center" wrapText="1"/>
    </xf>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4" fillId="0" borderId="0" xfId="0" applyFont="1"/>
    <xf numFmtId="0" fontId="5" fillId="0" borderId="0" xfId="0" applyFont="1"/>
    <xf numFmtId="0" fontId="0" fillId="0" borderId="0" xfId="0" applyAlignment="1">
      <alignment horizontal="left" wrapText="1"/>
    </xf>
    <xf numFmtId="0" fontId="6" fillId="0" borderId="0" xfId="0" applyFont="1"/>
    <xf numFmtId="164" fontId="0" fillId="3" borderId="0" xfId="0" applyNumberFormat="1" applyFill="1"/>
    <xf numFmtId="165" fontId="0" fillId="3" borderId="0" xfId="0" applyNumberFormat="1" applyFill="1"/>
    <xf numFmtId="0" fontId="0" fillId="0" borderId="0" xfId="0" quotePrefix="1"/>
    <xf numFmtId="0" fontId="0" fillId="2" borderId="0" xfId="0" applyFill="1" applyAlignment="1">
      <alignment horizontal="left" wrapText="1"/>
    </xf>
    <xf numFmtId="0" fontId="0" fillId="2" borderId="0" xfId="0" applyFill="1" applyAlignment="1">
      <alignment horizontal="center" wrapText="1"/>
    </xf>
    <xf numFmtId="0" fontId="0" fillId="0" borderId="0" xfId="0" applyAlignment="1">
      <alignment horizontal="center" wrapText="1"/>
    </xf>
    <xf numFmtId="0" fontId="3" fillId="0" borderId="0" xfId="0" applyFont="1" applyAlignment="1">
      <alignment horizontal="left" wrapText="1"/>
    </xf>
    <xf numFmtId="0" fontId="3" fillId="0" borderId="0" xfId="0" applyFont="1" applyAlignment="1">
      <alignment horizont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F</a:t>
            </a:r>
            <a:r>
              <a:rPr lang="it-IT" baseline="0"/>
              <a:t> vs 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2787270341207349"/>
          <c:y val="0.16707207207207206"/>
          <c:w val="0.83523840769903757"/>
          <c:h val="0.67831843654678303"/>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2700" cap="rnd">
                <a:solidFill>
                  <a:srgbClr val="FF0000"/>
                </a:solidFill>
                <a:prstDash val="solid"/>
              </a:ln>
              <a:effectLst/>
            </c:spPr>
            <c:trendlineType val="linear"/>
            <c:dispRSqr val="0"/>
            <c:dispEq val="1"/>
            <c:trendlineLbl>
              <c:layout>
                <c:manualLayout>
                  <c:x val="-0.10033136482939632"/>
                  <c:y val="-1.3918918918918919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it-IT"/>
                </a:p>
              </c:txPr>
            </c:trendlineLbl>
          </c:trendline>
          <c:xVal>
            <c:numRef>
              <c:f>'Pt4'!$B$8:$B$12</c:f>
              <c:numCache>
                <c:formatCode>General</c:formatCode>
                <c:ptCount val="5"/>
                <c:pt idx="0">
                  <c:v>0.49</c:v>
                </c:pt>
                <c:pt idx="1">
                  <c:v>0.98</c:v>
                </c:pt>
                <c:pt idx="2">
                  <c:v>1.47</c:v>
                </c:pt>
                <c:pt idx="3">
                  <c:v>1.96</c:v>
                </c:pt>
                <c:pt idx="4">
                  <c:v>2.4500000000000002</c:v>
                </c:pt>
              </c:numCache>
            </c:numRef>
          </c:xVal>
          <c:yVal>
            <c:numRef>
              <c:f>'Pt4'!$C$8:$C$12</c:f>
              <c:numCache>
                <c:formatCode>General</c:formatCode>
                <c:ptCount val="5"/>
                <c:pt idx="0">
                  <c:v>1.7999999999999999E-2</c:v>
                </c:pt>
                <c:pt idx="1">
                  <c:v>4.8000000000000001E-2</c:v>
                </c:pt>
                <c:pt idx="2">
                  <c:v>6.6000000000000003E-2</c:v>
                </c:pt>
                <c:pt idx="3">
                  <c:v>8.5999999999999993E-2</c:v>
                </c:pt>
                <c:pt idx="4">
                  <c:v>0.109</c:v>
                </c:pt>
              </c:numCache>
            </c:numRef>
          </c:yVal>
          <c:smooth val="0"/>
          <c:extLst>
            <c:ext xmlns:c16="http://schemas.microsoft.com/office/drawing/2014/chart" uri="{C3380CC4-5D6E-409C-BE32-E72D297353CC}">
              <c16:uniqueId val="{00000000-211A-40FA-9CAA-859564606EEB}"/>
            </c:ext>
          </c:extLst>
        </c:ser>
        <c:dLbls>
          <c:showLegendKey val="0"/>
          <c:showVal val="0"/>
          <c:showCatName val="0"/>
          <c:showSerName val="0"/>
          <c:showPercent val="0"/>
          <c:showBubbleSize val="0"/>
        </c:dLbls>
        <c:axId val="485701359"/>
        <c:axId val="485701839"/>
      </c:scatterChart>
      <c:valAx>
        <c:axId val="4857013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Forza (N)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85701839"/>
        <c:crosses val="autoZero"/>
        <c:crossBetween val="midCat"/>
      </c:valAx>
      <c:valAx>
        <c:axId val="485701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Allungamento</a:t>
                </a:r>
                <a:r>
                  <a:rPr lang="it-IT" baseline="0"/>
                  <a:t> (m)</a:t>
                </a:r>
                <a:endParaRPr lang="it-IT"/>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4857013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76503089925495"/>
          <c:y val="6.6818542934859809E-2"/>
          <c:w val="0.7832626789621957"/>
          <c:h val="0.7489851664747885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2700" cap="rnd">
                <a:solidFill>
                  <a:srgbClr val="FF0000"/>
                </a:solidFill>
                <a:prstDash val="solid"/>
              </a:ln>
              <a:effectLst/>
            </c:spPr>
            <c:trendlineType val="linear"/>
            <c:dispRSqr val="0"/>
            <c:dispEq val="1"/>
            <c:trendlineLbl>
              <c:layout>
                <c:manualLayout>
                  <c:x val="-0.11685629760827573"/>
                  <c:y val="3.0100390436482445E-2"/>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it-IT"/>
                </a:p>
              </c:txPr>
            </c:trendlineLbl>
          </c:trendline>
          <c:xVal>
            <c:numRef>
              <c:f>'Pt4'!$C$8:$C$12</c:f>
              <c:numCache>
                <c:formatCode>General</c:formatCode>
                <c:ptCount val="5"/>
                <c:pt idx="0">
                  <c:v>1.7999999999999999E-2</c:v>
                </c:pt>
                <c:pt idx="1">
                  <c:v>4.8000000000000001E-2</c:v>
                </c:pt>
                <c:pt idx="2">
                  <c:v>6.6000000000000003E-2</c:v>
                </c:pt>
                <c:pt idx="3">
                  <c:v>8.5999999999999993E-2</c:v>
                </c:pt>
                <c:pt idx="4">
                  <c:v>0.109</c:v>
                </c:pt>
              </c:numCache>
            </c:numRef>
          </c:xVal>
          <c:yVal>
            <c:numRef>
              <c:f>'Pt4'!$B$8:$B$12</c:f>
              <c:numCache>
                <c:formatCode>General</c:formatCode>
                <c:ptCount val="5"/>
                <c:pt idx="0">
                  <c:v>0.49</c:v>
                </c:pt>
                <c:pt idx="1">
                  <c:v>0.98</c:v>
                </c:pt>
                <c:pt idx="2">
                  <c:v>1.47</c:v>
                </c:pt>
                <c:pt idx="3">
                  <c:v>1.96</c:v>
                </c:pt>
                <c:pt idx="4">
                  <c:v>2.4500000000000002</c:v>
                </c:pt>
              </c:numCache>
            </c:numRef>
          </c:yVal>
          <c:smooth val="0"/>
          <c:extLst>
            <c:ext xmlns:c16="http://schemas.microsoft.com/office/drawing/2014/chart" uri="{C3380CC4-5D6E-409C-BE32-E72D297353CC}">
              <c16:uniqueId val="{00000001-93BC-4D16-98D0-C7581BC46790}"/>
            </c:ext>
          </c:extLst>
        </c:ser>
        <c:dLbls>
          <c:showLegendKey val="0"/>
          <c:showVal val="0"/>
          <c:showCatName val="0"/>
          <c:showSerName val="0"/>
          <c:showPercent val="0"/>
          <c:showBubbleSize val="0"/>
        </c:dLbls>
        <c:axId val="585227199"/>
        <c:axId val="585227679"/>
      </c:scatterChart>
      <c:valAx>
        <c:axId val="585227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Allungamento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85227679"/>
        <c:crosses val="autoZero"/>
        <c:crossBetween val="midCat"/>
      </c:valAx>
      <c:valAx>
        <c:axId val="585227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Forza</a:t>
                </a:r>
                <a:r>
                  <a:rPr lang="it-IT" baseline="0"/>
                  <a:t> (N)</a:t>
                </a:r>
                <a:endParaRPr lang="it-IT"/>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85227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12570</xdr:colOff>
      <xdr:row>18</xdr:row>
      <xdr:rowOff>161601</xdr:rowOff>
    </xdr:from>
    <xdr:to>
      <xdr:col>10</xdr:col>
      <xdr:colOff>203862</xdr:colOff>
      <xdr:row>32</xdr:row>
      <xdr:rowOff>69302</xdr:rowOff>
    </xdr:to>
    <xdr:pic>
      <xdr:nvPicPr>
        <xdr:cNvPr id="3" name="Immagine 2">
          <a:extLst>
            <a:ext uri="{FF2B5EF4-FFF2-40B4-BE49-F238E27FC236}">
              <a16:creationId xmlns:a16="http://schemas.microsoft.com/office/drawing/2014/main" id="{330A9507-0976-AA6D-6369-F46FC7805B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1652" y="3764254"/>
          <a:ext cx="5673026" cy="2538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28575</xdr:colOff>
      <xdr:row>14</xdr:row>
      <xdr:rowOff>19050</xdr:rowOff>
    </xdr:from>
    <xdr:to>
      <xdr:col>12</xdr:col>
      <xdr:colOff>143487</xdr:colOff>
      <xdr:row>23</xdr:row>
      <xdr:rowOff>38342</xdr:rowOff>
    </xdr:to>
    <xdr:pic>
      <xdr:nvPicPr>
        <xdr:cNvPr id="3" name="Immagine 2">
          <a:extLst>
            <a:ext uri="{FF2B5EF4-FFF2-40B4-BE49-F238E27FC236}">
              <a16:creationId xmlns:a16="http://schemas.microsoft.com/office/drawing/2014/main" id="{B2746C24-A6B4-2ABF-DDA0-1A36C2155F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24300" y="2733675"/>
          <a:ext cx="4382112" cy="17337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542925</xdr:colOff>
      <xdr:row>11</xdr:row>
      <xdr:rowOff>123825</xdr:rowOff>
    </xdr:from>
    <xdr:to>
      <xdr:col>10</xdr:col>
      <xdr:colOff>19329</xdr:colOff>
      <xdr:row>18</xdr:row>
      <xdr:rowOff>143064</xdr:rowOff>
    </xdr:to>
    <xdr:pic>
      <xdr:nvPicPr>
        <xdr:cNvPr id="4" name="Immagine 3">
          <a:extLst>
            <a:ext uri="{FF2B5EF4-FFF2-40B4-BE49-F238E27FC236}">
              <a16:creationId xmlns:a16="http://schemas.microsoft.com/office/drawing/2014/main" id="{ADD14572-87BE-DA19-7020-8191C6FDA3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33925" y="2266950"/>
          <a:ext cx="2000529" cy="1352739"/>
        </a:xfrm>
        <a:prstGeom prst="rect">
          <a:avLst/>
        </a:prstGeom>
      </xdr:spPr>
    </xdr:pic>
    <xdr:clientData/>
  </xdr:twoCellAnchor>
  <xdr:twoCellAnchor>
    <xdr:from>
      <xdr:col>0</xdr:col>
      <xdr:colOff>590550</xdr:colOff>
      <xdr:row>21</xdr:row>
      <xdr:rowOff>185737</xdr:rowOff>
    </xdr:from>
    <xdr:to>
      <xdr:col>7</xdr:col>
      <xdr:colOff>361950</xdr:colOff>
      <xdr:row>36</xdr:row>
      <xdr:rowOff>71437</xdr:rowOff>
    </xdr:to>
    <xdr:graphicFrame macro="">
      <xdr:nvGraphicFramePr>
        <xdr:cNvPr id="5" name="Grafico 4">
          <a:extLst>
            <a:ext uri="{FF2B5EF4-FFF2-40B4-BE49-F238E27FC236}">
              <a16:creationId xmlns:a16="http://schemas.microsoft.com/office/drawing/2014/main" id="{E73603F4-3824-02B3-63E3-EC1C5C6F8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723899</xdr:colOff>
      <xdr:row>50</xdr:row>
      <xdr:rowOff>190499</xdr:rowOff>
    </xdr:from>
    <xdr:to>
      <xdr:col>7</xdr:col>
      <xdr:colOff>295274</xdr:colOff>
      <xdr:row>61</xdr:row>
      <xdr:rowOff>185736</xdr:rowOff>
    </xdr:to>
    <xdr:graphicFrame macro="">
      <xdr:nvGraphicFramePr>
        <xdr:cNvPr id="6" name="Grafico 5">
          <a:extLst>
            <a:ext uri="{FF2B5EF4-FFF2-40B4-BE49-F238E27FC236}">
              <a16:creationId xmlns:a16="http://schemas.microsoft.com/office/drawing/2014/main" id="{B9FB822F-F331-C940-1BFF-C4FF6CE39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71E54-55FE-4814-9FFC-32D32CDC6A54}">
  <dimension ref="B3:N31"/>
  <sheetViews>
    <sheetView tabSelected="1" zoomScale="147" zoomScaleNormal="180" workbookViewId="0">
      <selection activeCell="F12" sqref="F12"/>
    </sheetView>
  </sheetViews>
  <sheetFormatPr defaultRowHeight="15" x14ac:dyDescent="0.25"/>
  <sheetData>
    <row r="3" spans="2:12" ht="27" x14ac:dyDescent="0.4">
      <c r="B3" s="10" t="s">
        <v>41</v>
      </c>
    </row>
    <row r="5" spans="2:12" ht="18.75" x14ac:dyDescent="0.3">
      <c r="B5" s="7" t="s">
        <v>0</v>
      </c>
    </row>
    <row r="6" spans="2:12" ht="15.75" x14ac:dyDescent="0.25">
      <c r="B6" s="2"/>
    </row>
    <row r="7" spans="2:12" x14ac:dyDescent="0.25">
      <c r="B7" s="14" t="s">
        <v>1</v>
      </c>
      <c r="C7" s="14"/>
      <c r="D7" s="14"/>
      <c r="E7" s="14"/>
      <c r="F7" s="14"/>
      <c r="G7" s="14"/>
      <c r="H7" s="14"/>
      <c r="I7" s="14"/>
      <c r="J7" s="14"/>
      <c r="K7" s="14"/>
      <c r="L7" s="14"/>
    </row>
    <row r="8" spans="2:12" x14ac:dyDescent="0.25">
      <c r="B8" s="14"/>
      <c r="C8" s="14"/>
      <c r="D8" s="14"/>
      <c r="E8" s="14"/>
      <c r="F8" s="14"/>
      <c r="G8" s="14"/>
      <c r="H8" s="14"/>
      <c r="I8" s="14"/>
      <c r="J8" s="14"/>
      <c r="K8" s="14"/>
      <c r="L8" s="14"/>
    </row>
    <row r="9" spans="2:12" x14ac:dyDescent="0.25">
      <c r="B9" s="4" t="s">
        <v>2</v>
      </c>
      <c r="C9" s="4"/>
      <c r="D9" s="4"/>
      <c r="E9" s="4"/>
      <c r="F9" s="4"/>
      <c r="G9" s="4"/>
      <c r="H9" s="4"/>
      <c r="I9" s="4"/>
      <c r="J9" s="4"/>
      <c r="K9" s="4"/>
      <c r="L9" s="4"/>
    </row>
    <row r="11" spans="2:12" x14ac:dyDescent="0.25">
      <c r="B11" s="5"/>
    </row>
    <row r="13" spans="2:12" x14ac:dyDescent="0.25">
      <c r="B13" s="14" t="s">
        <v>3</v>
      </c>
      <c r="C13" s="14"/>
      <c r="D13" s="14"/>
      <c r="E13" s="14"/>
      <c r="F13" s="14"/>
      <c r="G13" s="14"/>
      <c r="H13" s="14"/>
      <c r="I13" s="14"/>
      <c r="J13" s="14"/>
      <c r="K13" s="14"/>
      <c r="L13" s="14"/>
    </row>
    <row r="14" spans="2:12" x14ac:dyDescent="0.25">
      <c r="B14" s="4" t="s">
        <v>57</v>
      </c>
      <c r="C14" s="4"/>
      <c r="D14" s="4"/>
      <c r="E14" s="4"/>
      <c r="F14" s="4"/>
      <c r="G14" s="4"/>
      <c r="H14" s="4"/>
      <c r="I14" s="4"/>
      <c r="J14" s="4"/>
      <c r="K14" s="4"/>
    </row>
    <row r="16" spans="2:12" x14ac:dyDescent="0.25">
      <c r="B16" s="3" t="s">
        <v>4</v>
      </c>
      <c r="D16" s="6">
        <v>123.4</v>
      </c>
      <c r="E16" s="6">
        <v>876.5</v>
      </c>
      <c r="G16" t="s">
        <v>5</v>
      </c>
      <c r="I16" s="5"/>
    </row>
    <row r="17" spans="2:14" x14ac:dyDescent="0.25">
      <c r="B17" t="s">
        <v>6</v>
      </c>
    </row>
    <row r="30" spans="2:14" x14ac:dyDescent="0.25">
      <c r="L30" s="16" t="s">
        <v>59</v>
      </c>
      <c r="M30" s="16"/>
      <c r="N30" s="16"/>
    </row>
    <row r="31" spans="2:14" x14ac:dyDescent="0.25">
      <c r="L31" s="16"/>
      <c r="M31" s="16"/>
      <c r="N31" s="16"/>
    </row>
  </sheetData>
  <mergeCells count="3">
    <mergeCell ref="B7:L8"/>
    <mergeCell ref="B13:L13"/>
    <mergeCell ref="L30:N3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F19DA-E8E3-40AE-8912-478D03A17194}">
  <dimension ref="B3:K44"/>
  <sheetViews>
    <sheetView topLeftCell="A30" zoomScale="151" zoomScaleNormal="160" workbookViewId="0">
      <selection activeCell="H39" sqref="H39"/>
    </sheetView>
  </sheetViews>
  <sheetFormatPr defaultRowHeight="15" x14ac:dyDescent="0.25"/>
  <sheetData>
    <row r="3" spans="2:11" ht="18.75" x14ac:dyDescent="0.3">
      <c r="B3" s="7" t="s">
        <v>7</v>
      </c>
    </row>
    <row r="5" spans="2:11" ht="15.75" x14ac:dyDescent="0.25">
      <c r="B5" s="8" t="s">
        <v>8</v>
      </c>
    </row>
    <row r="7" spans="2:11" x14ac:dyDescent="0.25">
      <c r="B7" s="4" t="s">
        <v>9</v>
      </c>
      <c r="C7" s="4"/>
      <c r="D7" s="4"/>
      <c r="E7" s="4"/>
      <c r="F7" s="4"/>
      <c r="G7" s="4"/>
    </row>
    <row r="8" spans="2:11" x14ac:dyDescent="0.25">
      <c r="B8" s="4" t="s">
        <v>10</v>
      </c>
      <c r="C8" s="4"/>
      <c r="D8" s="4"/>
      <c r="E8" s="4"/>
      <c r="F8" s="4"/>
      <c r="G8" s="4"/>
    </row>
    <row r="10" spans="2:11" x14ac:dyDescent="0.25">
      <c r="B10" t="s">
        <v>11</v>
      </c>
      <c r="C10" s="6">
        <v>5</v>
      </c>
    </row>
    <row r="11" spans="2:11" x14ac:dyDescent="0.25">
      <c r="B11" t="s">
        <v>12</v>
      </c>
      <c r="C11" s="6">
        <v>3</v>
      </c>
    </row>
    <row r="12" spans="2:11" x14ac:dyDescent="0.25">
      <c r="B12" t="s">
        <v>13</v>
      </c>
      <c r="C12" s="5"/>
    </row>
    <row r="15" spans="2:11" ht="15.75" x14ac:dyDescent="0.25">
      <c r="B15" s="8" t="s">
        <v>14</v>
      </c>
    </row>
    <row r="16" spans="2:11" ht="15" customHeight="1" x14ac:dyDescent="0.25">
      <c r="B16" s="15" t="s">
        <v>15</v>
      </c>
      <c r="C16" s="15"/>
      <c r="D16" s="15"/>
      <c r="E16" s="15"/>
      <c r="F16" s="15"/>
      <c r="G16" s="15"/>
      <c r="H16" s="15"/>
      <c r="I16" s="15"/>
      <c r="J16" s="15"/>
      <c r="K16" s="15"/>
    </row>
    <row r="17" spans="2:11" x14ac:dyDescent="0.25">
      <c r="B17" s="15"/>
      <c r="C17" s="15"/>
      <c r="D17" s="15"/>
      <c r="E17" s="15"/>
      <c r="F17" s="15"/>
      <c r="G17" s="15"/>
      <c r="H17" s="15"/>
      <c r="I17" s="15"/>
      <c r="J17" s="15"/>
      <c r="K17" s="15"/>
    </row>
    <row r="18" spans="2:11" x14ac:dyDescent="0.25">
      <c r="C18" s="6">
        <v>23</v>
      </c>
    </row>
    <row r="19" spans="2:11" x14ac:dyDescent="0.25">
      <c r="C19" s="6">
        <v>25</v>
      </c>
    </row>
    <row r="20" spans="2:11" x14ac:dyDescent="0.25">
      <c r="C20" s="6">
        <v>26</v>
      </c>
    </row>
    <row r="21" spans="2:11" x14ac:dyDescent="0.25">
      <c r="C21" s="6">
        <v>28</v>
      </c>
    </row>
    <row r="22" spans="2:11" x14ac:dyDescent="0.25">
      <c r="C22" s="6">
        <v>24</v>
      </c>
    </row>
    <row r="23" spans="2:11" x14ac:dyDescent="0.25">
      <c r="C23" s="6">
        <v>27</v>
      </c>
    </row>
    <row r="24" spans="2:11" x14ac:dyDescent="0.25">
      <c r="B24" t="s">
        <v>16</v>
      </c>
      <c r="C24" s="5"/>
    </row>
    <row r="28" spans="2:11" ht="15.75" x14ac:dyDescent="0.25">
      <c r="B28" s="8" t="s">
        <v>17</v>
      </c>
    </row>
    <row r="29" spans="2:11" x14ac:dyDescent="0.25">
      <c r="B29" s="14" t="s">
        <v>18</v>
      </c>
      <c r="C29" s="14"/>
      <c r="D29" s="14"/>
      <c r="E29" s="14"/>
      <c r="F29" s="14"/>
      <c r="G29" s="14"/>
      <c r="H29" s="14"/>
      <c r="I29" s="14"/>
      <c r="J29" s="14"/>
      <c r="K29" s="14"/>
    </row>
    <row r="30" spans="2:11" x14ac:dyDescent="0.25">
      <c r="B30" s="14"/>
      <c r="C30" s="14"/>
      <c r="D30" s="14"/>
      <c r="E30" s="14"/>
      <c r="F30" s="14"/>
      <c r="G30" s="14"/>
      <c r="H30" s="14"/>
      <c r="I30" s="14"/>
      <c r="J30" s="14"/>
      <c r="K30" s="14"/>
    </row>
    <row r="31" spans="2:11" x14ac:dyDescent="0.25">
      <c r="B31" s="14" t="s">
        <v>27</v>
      </c>
      <c r="C31" s="14"/>
      <c r="D31" s="14"/>
      <c r="E31" s="14"/>
      <c r="F31" s="14"/>
      <c r="G31" s="14"/>
      <c r="H31" s="14"/>
      <c r="I31" s="14"/>
      <c r="J31" s="14"/>
      <c r="K31" s="14"/>
    </row>
    <row r="32" spans="2:11" x14ac:dyDescent="0.25">
      <c r="B32" s="14"/>
      <c r="C32" s="14"/>
      <c r="D32" s="14"/>
      <c r="E32" s="14"/>
      <c r="F32" s="14"/>
      <c r="G32" s="14"/>
      <c r="H32" s="14"/>
      <c r="I32" s="14"/>
      <c r="J32" s="14"/>
      <c r="K32" s="14"/>
    </row>
    <row r="33" spans="2:11" x14ac:dyDescent="0.25">
      <c r="B33" s="9"/>
      <c r="C33" s="9"/>
      <c r="D33" s="9"/>
      <c r="E33" s="9"/>
      <c r="F33" s="9"/>
      <c r="G33" s="9"/>
      <c r="H33" s="9"/>
      <c r="I33" s="9"/>
      <c r="J33" s="9"/>
      <c r="K33" s="9"/>
    </row>
    <row r="34" spans="2:11" x14ac:dyDescent="0.25">
      <c r="B34" s="3" t="s">
        <v>19</v>
      </c>
      <c r="C34" t="s">
        <v>20</v>
      </c>
      <c r="G34" t="s">
        <v>21</v>
      </c>
      <c r="H34" t="s">
        <v>22</v>
      </c>
    </row>
    <row r="35" spans="2:11" x14ac:dyDescent="0.25">
      <c r="G35" s="6">
        <v>45</v>
      </c>
      <c r="H35" s="11"/>
    </row>
    <row r="37" spans="2:11" x14ac:dyDescent="0.25">
      <c r="B37" s="3" t="s">
        <v>19</v>
      </c>
      <c r="C37" t="s">
        <v>28</v>
      </c>
      <c r="I37" s="5">
        <f>DEGREES(PI()/4)</f>
        <v>45</v>
      </c>
    </row>
    <row r="38" spans="2:11" x14ac:dyDescent="0.25">
      <c r="C38" t="s">
        <v>23</v>
      </c>
    </row>
    <row r="41" spans="2:11" x14ac:dyDescent="0.25">
      <c r="B41" s="3" t="s">
        <v>19</v>
      </c>
      <c r="C41" t="s">
        <v>26</v>
      </c>
    </row>
    <row r="43" spans="2:11" x14ac:dyDescent="0.25">
      <c r="C43" t="s">
        <v>24</v>
      </c>
      <c r="D43" t="s">
        <v>25</v>
      </c>
    </row>
    <row r="44" spans="2:11" x14ac:dyDescent="0.25">
      <c r="C44" s="6">
        <v>45</v>
      </c>
      <c r="D44" s="5">
        <f>SIN(RADIANS(C44))</f>
        <v>0.70710678118654746</v>
      </c>
      <c r="K44" s="13"/>
    </row>
  </sheetData>
  <mergeCells count="3">
    <mergeCell ref="B16:K17"/>
    <mergeCell ref="B29:K30"/>
    <mergeCell ref="B31:K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1459-48C3-4105-ADDD-40AA6E9D3B69}">
  <dimension ref="B3:L13"/>
  <sheetViews>
    <sheetView zoomScale="140" zoomScaleNormal="140" workbookViewId="0">
      <selection activeCell="D10" sqref="D10:D13"/>
    </sheetView>
  </sheetViews>
  <sheetFormatPr defaultRowHeight="15" x14ac:dyDescent="0.25"/>
  <cols>
    <col min="2" max="2" width="12.5703125" customWidth="1"/>
    <col min="3" max="3" width="12.140625" customWidth="1"/>
    <col min="4" max="4" width="15.42578125" customWidth="1"/>
  </cols>
  <sheetData>
    <row r="3" spans="2:12" ht="18.75" x14ac:dyDescent="0.3">
      <c r="B3" s="7" t="s">
        <v>29</v>
      </c>
    </row>
    <row r="5" spans="2:12" x14ac:dyDescent="0.25">
      <c r="B5" s="15" t="s">
        <v>30</v>
      </c>
      <c r="C5" s="15"/>
      <c r="D5" s="15"/>
      <c r="E5" s="15"/>
      <c r="F5" s="15"/>
      <c r="G5" s="15"/>
      <c r="H5" s="15"/>
      <c r="I5" s="15"/>
      <c r="J5" s="15"/>
      <c r="K5" s="15"/>
      <c r="L5" s="15"/>
    </row>
    <row r="6" spans="2:12" x14ac:dyDescent="0.25">
      <c r="B6" s="15"/>
      <c r="C6" s="15"/>
      <c r="D6" s="15"/>
      <c r="E6" s="15"/>
      <c r="F6" s="15"/>
      <c r="G6" s="15"/>
      <c r="H6" s="15"/>
      <c r="I6" s="15"/>
      <c r="J6" s="15"/>
      <c r="K6" s="15"/>
      <c r="L6" s="15"/>
    </row>
    <row r="8" spans="2:12" x14ac:dyDescent="0.25">
      <c r="B8" t="s">
        <v>31</v>
      </c>
      <c r="C8" t="s">
        <v>32</v>
      </c>
      <c r="D8" t="s">
        <v>33</v>
      </c>
      <c r="F8" t="s">
        <v>34</v>
      </c>
    </row>
    <row r="9" spans="2:12" x14ac:dyDescent="0.25">
      <c r="B9" s="6">
        <v>36.4</v>
      </c>
      <c r="C9" s="6">
        <v>3.2</v>
      </c>
      <c r="D9" s="12">
        <f>B9/C9</f>
        <v>11.374999999999998</v>
      </c>
      <c r="F9" s="16" t="s">
        <v>35</v>
      </c>
      <c r="G9" s="16"/>
      <c r="H9" s="16"/>
      <c r="I9" s="16"/>
      <c r="J9" s="16"/>
      <c r="K9" s="16"/>
      <c r="L9" s="16"/>
    </row>
    <row r="10" spans="2:12" x14ac:dyDescent="0.25">
      <c r="B10" s="6">
        <v>62.1</v>
      </c>
      <c r="C10" s="6">
        <v>8.4</v>
      </c>
      <c r="D10" s="12"/>
      <c r="F10" s="16"/>
      <c r="G10" s="16"/>
      <c r="H10" s="16"/>
      <c r="I10" s="16"/>
      <c r="J10" s="16"/>
      <c r="K10" s="16"/>
      <c r="L10" s="16"/>
    </row>
    <row r="11" spans="2:12" x14ac:dyDescent="0.25">
      <c r="B11" s="6">
        <v>87.2</v>
      </c>
      <c r="C11" s="6">
        <v>7.3</v>
      </c>
      <c r="D11" s="12"/>
      <c r="F11" s="16"/>
      <c r="G11" s="16"/>
      <c r="H11" s="16"/>
      <c r="I11" s="16"/>
      <c r="J11" s="16"/>
      <c r="K11" s="16"/>
      <c r="L11" s="16"/>
    </row>
    <row r="12" spans="2:12" x14ac:dyDescent="0.25">
      <c r="B12" s="6">
        <v>18.3</v>
      </c>
      <c r="C12" s="6">
        <v>4.9000000000000004</v>
      </c>
      <c r="D12" s="12"/>
      <c r="F12" s="16"/>
      <c r="G12" s="16"/>
      <c r="H12" s="16"/>
      <c r="I12" s="16"/>
      <c r="J12" s="16"/>
      <c r="K12" s="16"/>
      <c r="L12" s="16"/>
    </row>
    <row r="13" spans="2:12" x14ac:dyDescent="0.25">
      <c r="B13" s="6">
        <v>41.7</v>
      </c>
      <c r="C13" s="6">
        <v>1.6</v>
      </c>
      <c r="D13" s="12"/>
      <c r="F13" s="16"/>
      <c r="G13" s="16"/>
      <c r="H13" s="16"/>
      <c r="I13" s="16"/>
      <c r="J13" s="16"/>
      <c r="K13" s="16"/>
      <c r="L13" s="16"/>
    </row>
  </sheetData>
  <mergeCells count="2">
    <mergeCell ref="B5:L6"/>
    <mergeCell ref="F9:L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9B02-AEC2-4B8E-956F-086FDF4D173D}">
  <dimension ref="B3:M50"/>
  <sheetViews>
    <sheetView zoomScale="142" workbookViewId="0">
      <selection activeCell="E10" sqref="E10"/>
    </sheetView>
  </sheetViews>
  <sheetFormatPr defaultRowHeight="15" x14ac:dyDescent="0.25"/>
  <cols>
    <col min="2" max="2" width="11.140625" customWidth="1"/>
    <col min="3" max="3" width="17.140625" customWidth="1"/>
    <col min="10" max="10" width="10.42578125" customWidth="1"/>
  </cols>
  <sheetData>
    <row r="3" spans="2:10" ht="18.75" x14ac:dyDescent="0.3">
      <c r="B3" s="7" t="s">
        <v>36</v>
      </c>
    </row>
    <row r="4" spans="2:10" x14ac:dyDescent="0.25">
      <c r="B4" s="14" t="s">
        <v>43</v>
      </c>
      <c r="C4" s="14"/>
      <c r="D4" s="14"/>
      <c r="E4" s="14"/>
      <c r="F4" s="14"/>
      <c r="G4" s="14"/>
      <c r="H4" s="14"/>
      <c r="I4" s="14"/>
    </row>
    <row r="5" spans="2:10" x14ac:dyDescent="0.25">
      <c r="B5" s="14"/>
      <c r="C5" s="14"/>
      <c r="D5" s="14"/>
      <c r="E5" s="14"/>
      <c r="F5" s="14"/>
      <c r="G5" s="14"/>
      <c r="H5" s="14"/>
      <c r="I5" s="14"/>
    </row>
    <row r="6" spans="2:10" x14ac:dyDescent="0.25">
      <c r="B6" s="1"/>
      <c r="C6" s="1"/>
      <c r="D6" s="1"/>
      <c r="E6" s="1"/>
      <c r="F6" s="1"/>
      <c r="G6" s="1"/>
      <c r="H6" s="1"/>
      <c r="I6" s="1"/>
    </row>
    <row r="7" spans="2:10" x14ac:dyDescent="0.25">
      <c r="B7" t="s">
        <v>37</v>
      </c>
      <c r="C7" t="s">
        <v>38</v>
      </c>
      <c r="D7" t="s">
        <v>58</v>
      </c>
      <c r="F7" s="17" t="s">
        <v>39</v>
      </c>
      <c r="G7" s="17"/>
      <c r="H7" s="17"/>
      <c r="I7" s="17"/>
      <c r="J7" s="17"/>
    </row>
    <row r="8" spans="2:10" x14ac:dyDescent="0.25">
      <c r="B8">
        <v>0.49</v>
      </c>
      <c r="C8">
        <v>1.7999999999999999E-2</v>
      </c>
      <c r="F8" s="17"/>
      <c r="G8" s="17"/>
      <c r="H8" s="17"/>
      <c r="I8" s="17"/>
      <c r="J8" s="17"/>
    </row>
    <row r="9" spans="2:10" x14ac:dyDescent="0.25">
      <c r="B9">
        <v>0.98</v>
      </c>
      <c r="C9">
        <v>4.8000000000000001E-2</v>
      </c>
      <c r="F9" s="17"/>
      <c r="G9" s="17"/>
      <c r="H9" s="17"/>
      <c r="I9" s="17"/>
      <c r="J9" s="17"/>
    </row>
    <row r="10" spans="2:10" x14ac:dyDescent="0.25">
      <c r="B10">
        <v>1.47</v>
      </c>
      <c r="C10">
        <v>6.6000000000000003E-2</v>
      </c>
    </row>
    <row r="11" spans="2:10" x14ac:dyDescent="0.25">
      <c r="B11">
        <v>1.96</v>
      </c>
      <c r="C11">
        <v>8.5999999999999993E-2</v>
      </c>
    </row>
    <row r="12" spans="2:10" x14ac:dyDescent="0.25">
      <c r="B12">
        <v>2.4500000000000002</v>
      </c>
      <c r="C12">
        <v>0.109</v>
      </c>
    </row>
    <row r="15" spans="2:10" x14ac:dyDescent="0.25">
      <c r="B15" s="4" t="s">
        <v>40</v>
      </c>
      <c r="C15" s="4"/>
      <c r="D15" s="4"/>
      <c r="E15" s="4"/>
      <c r="F15" s="4"/>
    </row>
    <row r="20" spans="8:13" x14ac:dyDescent="0.25">
      <c r="H20" t="s">
        <v>42</v>
      </c>
    </row>
    <row r="24" spans="8:13" ht="21" customHeight="1" x14ac:dyDescent="0.25">
      <c r="J24" s="18" t="s">
        <v>55</v>
      </c>
      <c r="K24" s="18"/>
      <c r="L24" s="18"/>
      <c r="M24" s="18"/>
    </row>
    <row r="25" spans="8:13" x14ac:dyDescent="0.25">
      <c r="J25" s="18"/>
      <c r="K25" s="18"/>
      <c r="L25" s="18"/>
      <c r="M25" s="18"/>
    </row>
    <row r="26" spans="8:13" x14ac:dyDescent="0.25">
      <c r="J26" s="18"/>
      <c r="K26" s="18"/>
      <c r="L26" s="18"/>
      <c r="M26" s="18"/>
    </row>
    <row r="39" spans="2:9" x14ac:dyDescent="0.25">
      <c r="B39" s="14" t="s">
        <v>44</v>
      </c>
      <c r="C39" s="14"/>
      <c r="D39" s="14"/>
      <c r="E39" s="14"/>
      <c r="F39" s="14"/>
      <c r="G39" s="14"/>
      <c r="H39" s="14"/>
      <c r="I39" s="14"/>
    </row>
    <row r="40" spans="2:9" x14ac:dyDescent="0.25">
      <c r="B40" s="14"/>
      <c r="C40" s="14"/>
      <c r="D40" s="14"/>
      <c r="E40" s="14"/>
      <c r="F40" s="14"/>
      <c r="G40" s="14"/>
      <c r="H40" s="14"/>
      <c r="I40" s="14"/>
    </row>
    <row r="41" spans="2:9" x14ac:dyDescent="0.25">
      <c r="B41" s="4" t="s">
        <v>45</v>
      </c>
      <c r="C41" s="4"/>
      <c r="D41" s="4"/>
      <c r="E41" s="4"/>
      <c r="F41" s="4"/>
      <c r="G41" s="4"/>
      <c r="H41" s="4"/>
      <c r="I41" s="4"/>
    </row>
    <row r="42" spans="2:9" x14ac:dyDescent="0.25">
      <c r="B42" t="s">
        <v>46</v>
      </c>
    </row>
    <row r="43" spans="2:9" x14ac:dyDescent="0.25">
      <c r="B43" t="s">
        <v>47</v>
      </c>
      <c r="C43" t="s">
        <v>48</v>
      </c>
    </row>
    <row r="45" spans="2:9" x14ac:dyDescent="0.25">
      <c r="B45" t="s">
        <v>49</v>
      </c>
      <c r="C45" t="s">
        <v>50</v>
      </c>
      <c r="D45" t="s">
        <v>51</v>
      </c>
    </row>
    <row r="46" spans="2:9" x14ac:dyDescent="0.25">
      <c r="D46" t="s">
        <v>52</v>
      </c>
      <c r="F46" t="s">
        <v>53</v>
      </c>
      <c r="G46">
        <f>1/0.0449</f>
        <v>22.271714922048996</v>
      </c>
      <c r="H46" t="s">
        <v>54</v>
      </c>
    </row>
    <row r="49" spans="2:9" x14ac:dyDescent="0.25">
      <c r="B49" s="17" t="s">
        <v>56</v>
      </c>
      <c r="C49" s="17"/>
      <c r="D49" s="17"/>
      <c r="E49" s="17"/>
      <c r="F49" s="17"/>
      <c r="G49" s="17"/>
      <c r="H49" s="17"/>
      <c r="I49" s="17"/>
    </row>
    <row r="50" spans="2:9" x14ac:dyDescent="0.25">
      <c r="B50" s="17"/>
      <c r="C50" s="17"/>
      <c r="D50" s="17"/>
      <c r="E50" s="17"/>
      <c r="F50" s="17"/>
      <c r="G50" s="17"/>
      <c r="H50" s="17"/>
      <c r="I50" s="17"/>
    </row>
  </sheetData>
  <mergeCells count="5">
    <mergeCell ref="B4:I5"/>
    <mergeCell ref="F7:J9"/>
    <mergeCell ref="J24:M26"/>
    <mergeCell ref="B39:I40"/>
    <mergeCell ref="B49:I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Pt1</vt:lpstr>
      <vt:lpstr>Pt2</vt:lpstr>
      <vt:lpstr>Pt3</vt:lpstr>
      <vt:lpstr>Pt4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SABATINO LORENZO MAURO</dc:creator>
  <cp:lastModifiedBy>SABATINO LORENZO MAURO</cp:lastModifiedBy>
  <dcterms:created xsi:type="dcterms:W3CDTF">2026-01-08T11:29:14Z</dcterms:created>
  <dcterms:modified xsi:type="dcterms:W3CDTF">2026-01-22T19:55:44Z</dcterms:modified>
</cp:coreProperties>
</file>